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_信頼区間" sheetId="1" state="visible" r:id="rId1"/>
    <sheet name="t分布" sheetId="2" state="visible" r:id="rId2"/>
    <sheet name="tanh" sheetId="3" state="visible" r:id="rId3"/>
    <sheet name="tanh-1" sheetId="4" state="visible" r:id="rId4"/>
    <sheet name="二項分布累積" sheetId="5" state="visible" r:id="rId5"/>
    <sheet name="正規分布累積" sheetId="6" state="visible" r:id="rId6"/>
    <sheet name="正規分布逆関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1"/>
    </font>
    <font>
      <b val="1"/>
      <sz val="11"/>
    </font>
    <font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2" t="inlineStr">
        <is>
          <t>統計学Ⅰ 第10回　問題</t>
        </is>
      </c>
    </row>
    <row r="2">
      <c r="A2" s="13" t="inlineStr"/>
    </row>
    <row r="3">
      <c r="A3" s="13" t="inlineStr">
        <is>
          <t>N = 20,  r = 0.3</t>
        </is>
      </c>
    </row>
    <row r="4">
      <c r="A4" s="13" t="inlineStr"/>
    </row>
    <row r="5">
      <c r="A5" s="12" t="inlineStr">
        <is>
          <t>① 95% 信頼区間</t>
        </is>
      </c>
    </row>
    <row r="6">
      <c r="A6" s="13" t="inlineStr">
        <is>
          <t>Z = ATANH(0.3)</t>
        </is>
      </c>
      <c r="B6" s="14" t="inlineStr">
        <is>
          <t>=</t>
        </is>
      </c>
      <c r="C6" s="12" t="inlineStr">
        <is>
          <t>0.3095</t>
        </is>
      </c>
    </row>
    <row r="7">
      <c r="A7" s="13" t="inlineStr">
        <is>
          <t>SE = 1/√(20−3)</t>
        </is>
      </c>
      <c r="B7" s="14" t="inlineStr">
        <is>
          <t>=</t>
        </is>
      </c>
      <c r="C7" s="12" t="inlineStr">
        <is>
          <t>0.2425</t>
        </is>
      </c>
    </row>
    <row r="8">
      <c r="A8" s="13" t="inlineStr">
        <is>
          <t>Z ± 1.96 × SE</t>
        </is>
      </c>
      <c r="B8" s="14" t="inlineStr">
        <is>
          <t>=</t>
        </is>
      </c>
      <c r="C8" s="12" t="inlineStr">
        <is>
          <t>−0.1658  ～  0.7848</t>
        </is>
      </c>
    </row>
    <row r="9">
      <c r="A9" s="13" t="inlineStr">
        <is>
          <t>tanh(下限), tanh(上限)</t>
        </is>
      </c>
      <c r="B9" s="14" t="inlineStr">
        <is>
          <t>→</t>
        </is>
      </c>
      <c r="C9" s="12" t="inlineStr">
        <is>
          <t>−0.165  &lt;  ρ  &lt;  0.656</t>
        </is>
      </c>
    </row>
    <row r="10">
      <c r="A10" s="13" t="inlineStr"/>
    </row>
    <row r="11">
      <c r="A11" s="12" t="inlineStr">
        <is>
          <t>② 99% 信頼区間  (z* = 2.567)</t>
        </is>
      </c>
    </row>
    <row r="12">
      <c r="A12" s="13" t="inlineStr">
        <is>
          <t>Z ± 2.567 × SE</t>
        </is>
      </c>
      <c r="B12" s="14" t="inlineStr">
        <is>
          <t>=</t>
        </is>
      </c>
      <c r="C12" s="12" t="inlineStr">
        <is>
          <t>−0.3130  ～  0.9320</t>
        </is>
      </c>
    </row>
    <row r="13">
      <c r="A13" s="13" t="inlineStr">
        <is>
          <t>tanh(下限), tanh(上限)</t>
        </is>
      </c>
      <c r="B13" s="14" t="inlineStr">
        <is>
          <t>→</t>
        </is>
      </c>
      <c r="C13" s="12" t="inlineStr">
        <is>
          <t>−0.306  &lt;  ρ  &lt;  0.730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N=</t>
        </is>
      </c>
      <c r="B1" t="n">
        <v>10</v>
      </c>
      <c r="C1" t="inlineStr">
        <is>
          <t>相関係数r</t>
        </is>
      </c>
      <c r="D1" t="inlineStr">
        <is>
          <t>t値</t>
        </is>
      </c>
      <c r="E1" t="inlineStr">
        <is>
          <t>t分布</t>
        </is>
      </c>
    </row>
    <row r="2">
      <c r="A2" t="inlineStr">
        <is>
          <t>自由度</t>
        </is>
      </c>
      <c r="B2">
        <f>B1-2</f>
        <v/>
      </c>
      <c r="C2" t="n">
        <v>-0.95</v>
      </c>
      <c r="D2">
        <f>C2/SQRT(1-C2*C2)*SQRT($B$1-2)</f>
        <v/>
      </c>
      <c r="E2">
        <f>T.DIST(D2,$B$2,FALSE)</f>
        <v/>
      </c>
    </row>
    <row r="3">
      <c r="C3" t="n">
        <v>-0.9</v>
      </c>
      <c r="D3">
        <f>C3/SQRT(1-C3*C3)*SQRT($B$1-2)</f>
        <v/>
      </c>
      <c r="E3">
        <f>T.DIST(D3,$B$2,FALSE)</f>
        <v/>
      </c>
    </row>
    <row r="4">
      <c r="C4" t="n">
        <v>-0.85</v>
      </c>
      <c r="D4">
        <f>C4/SQRT(1-C4*C4)*SQRT($B$1-2)</f>
        <v/>
      </c>
      <c r="E4">
        <f>T.DIST(D4,$B$2,FALSE)</f>
        <v/>
      </c>
    </row>
    <row r="5">
      <c r="C5" t="n">
        <v>-0.8</v>
      </c>
      <c r="D5">
        <f>C5/SQRT(1-C5*C5)*SQRT($B$1-2)</f>
        <v/>
      </c>
      <c r="E5">
        <f>T.DIST(D5,$B$2,FALSE)</f>
        <v/>
      </c>
    </row>
    <row r="6">
      <c r="C6" t="n">
        <v>-0.75</v>
      </c>
      <c r="D6">
        <f>C6/SQRT(1-C6*C6)*SQRT($B$1-2)</f>
        <v/>
      </c>
      <c r="E6">
        <f>T.DIST(D6,$B$2,FALSE)</f>
        <v/>
      </c>
    </row>
    <row r="7">
      <c r="C7" t="n">
        <v>-0.7</v>
      </c>
      <c r="D7">
        <f>C7/SQRT(1-C7*C7)*SQRT($B$1-2)</f>
        <v/>
      </c>
      <c r="E7">
        <f>T.DIST(D7,$B$2,FALSE)</f>
        <v/>
      </c>
    </row>
    <row r="8">
      <c r="C8" t="n">
        <v>-0.65</v>
      </c>
      <c r="D8">
        <f>C8/SQRT(1-C8*C8)*SQRT($B$1-2)</f>
        <v/>
      </c>
      <c r="E8">
        <f>T.DIST(D8,$B$2,FALSE)</f>
        <v/>
      </c>
    </row>
    <row r="9">
      <c r="C9" t="n">
        <v>-0.6</v>
      </c>
      <c r="D9">
        <f>C9/SQRT(1-C9*C9)*SQRT($B$1-2)</f>
        <v/>
      </c>
      <c r="E9">
        <f>T.DIST(D9,$B$2,FALSE)</f>
        <v/>
      </c>
    </row>
    <row r="10">
      <c r="C10" t="n">
        <v>-0.55</v>
      </c>
      <c r="D10">
        <f>C10/SQRT(1-C10*C10)*SQRT($B$1-2)</f>
        <v/>
      </c>
      <c r="E10">
        <f>T.DIST(D10,$B$2,FALSE)</f>
        <v/>
      </c>
    </row>
    <row r="11">
      <c r="C11" t="n">
        <v>-0.5</v>
      </c>
      <c r="D11">
        <f>C11/SQRT(1-C11*C11)*SQRT($B$1-2)</f>
        <v/>
      </c>
      <c r="E11">
        <f>T.DIST(D11,$B$2,FALSE)</f>
        <v/>
      </c>
    </row>
    <row r="12">
      <c r="C12" t="n">
        <v>-0.45</v>
      </c>
      <c r="D12">
        <f>C12/SQRT(1-C12*C12)*SQRT($B$1-2)</f>
        <v/>
      </c>
      <c r="E12">
        <f>T.DIST(D12,$B$2,FALSE)</f>
        <v/>
      </c>
    </row>
    <row r="13">
      <c r="C13" t="n">
        <v>-0.4</v>
      </c>
      <c r="D13">
        <f>C13/SQRT(1-C13*C13)*SQRT($B$1-2)</f>
        <v/>
      </c>
      <c r="E13">
        <f>T.DIST(D13,$B$2,FALSE)</f>
        <v/>
      </c>
    </row>
    <row r="14">
      <c r="C14" t="n">
        <v>-0.35</v>
      </c>
      <c r="D14">
        <f>C14/SQRT(1-C14*C14)*SQRT($B$1-2)</f>
        <v/>
      </c>
      <c r="E14">
        <f>T.DIST(D14,$B$2,FALSE)</f>
        <v/>
      </c>
    </row>
    <row r="15">
      <c r="C15" t="n">
        <v>-0.3</v>
      </c>
      <c r="D15">
        <f>C15/SQRT(1-C15*C15)*SQRT($B$1-2)</f>
        <v/>
      </c>
      <c r="E15">
        <f>T.DIST(D15,$B$2,FALSE)</f>
        <v/>
      </c>
    </row>
    <row r="16">
      <c r="C16" t="n">
        <v>-0.25</v>
      </c>
      <c r="D16">
        <f>C16/SQRT(1-C16*C16)*SQRT($B$1-2)</f>
        <v/>
      </c>
      <c r="E16">
        <f>T.DIST(D16,$B$2,FALSE)</f>
        <v/>
      </c>
    </row>
    <row r="17">
      <c r="C17" t="n">
        <v>-0.2</v>
      </c>
      <c r="D17">
        <f>C17/SQRT(1-C17*C17)*SQRT($B$1-2)</f>
        <v/>
      </c>
      <c r="E17">
        <f>T.DIST(D17,$B$2,FALSE)</f>
        <v/>
      </c>
    </row>
    <row r="18">
      <c r="C18" t="n">
        <v>-0.15</v>
      </c>
      <c r="D18">
        <f>C18/SQRT(1-C18*C18)*SQRT($B$1-2)</f>
        <v/>
      </c>
      <c r="E18">
        <f>T.DIST(D18,$B$2,FALSE)</f>
        <v/>
      </c>
    </row>
    <row r="19">
      <c r="C19" t="n">
        <v>-0.1</v>
      </c>
      <c r="D19">
        <f>C19/SQRT(1-C19*C19)*SQRT($B$1-2)</f>
        <v/>
      </c>
      <c r="E19">
        <f>T.DIST(D19,$B$2,FALSE)</f>
        <v/>
      </c>
    </row>
    <row r="20">
      <c r="C20" t="n">
        <v>-0.05</v>
      </c>
      <c r="D20">
        <f>C20/SQRT(1-C20*C20)*SQRT($B$1-2)</f>
        <v/>
      </c>
      <c r="E20">
        <f>T.DIST(D20,$B$2,FALSE)</f>
        <v/>
      </c>
    </row>
    <row r="21">
      <c r="C21" t="n">
        <v>0</v>
      </c>
      <c r="D21">
        <f>C21/SQRT(1-C21*C21)*SQRT($B$1-2)</f>
        <v/>
      </c>
      <c r="E21">
        <f>T.DIST(D21,$B$2,FALSE)</f>
        <v/>
      </c>
    </row>
    <row r="22">
      <c r="C22" t="n">
        <v>0.05</v>
      </c>
      <c r="D22">
        <f>C22/SQRT(1-C22*C22)*SQRT($B$1-2)</f>
        <v/>
      </c>
      <c r="E22">
        <f>T.DIST(D22,$B$2,FALSE)</f>
        <v/>
      </c>
    </row>
    <row r="23">
      <c r="C23" t="n">
        <v>0.1</v>
      </c>
      <c r="D23">
        <f>C23/SQRT(1-C23*C23)*SQRT($B$1-2)</f>
        <v/>
      </c>
      <c r="E23">
        <f>T.DIST(D23,$B$2,FALSE)</f>
        <v/>
      </c>
    </row>
    <row r="24">
      <c r="C24" t="n">
        <v>0.15</v>
      </c>
      <c r="D24">
        <f>C24/SQRT(1-C24*C24)*SQRT($B$1-2)</f>
        <v/>
      </c>
      <c r="E24">
        <f>T.DIST(D24,$B$2,FALSE)</f>
        <v/>
      </c>
    </row>
    <row r="25">
      <c r="C25" t="n">
        <v>0.2</v>
      </c>
      <c r="D25">
        <f>C25/SQRT(1-C25*C25)*SQRT($B$1-2)</f>
        <v/>
      </c>
      <c r="E25">
        <f>T.DIST(D25,$B$2,FALSE)</f>
        <v/>
      </c>
    </row>
    <row r="26">
      <c r="C26" t="n">
        <v>0.25</v>
      </c>
      <c r="D26">
        <f>C26/SQRT(1-C26*C26)*SQRT($B$1-2)</f>
        <v/>
      </c>
      <c r="E26">
        <f>T.DIST(D26,$B$2,FALSE)</f>
        <v/>
      </c>
    </row>
    <row r="27">
      <c r="C27" t="n">
        <v>0.3</v>
      </c>
      <c r="D27">
        <f>C27/SQRT(1-C27*C27)*SQRT($B$1-2)</f>
        <v/>
      </c>
      <c r="E27">
        <f>T.DIST(D27,$B$2,FALSE)</f>
        <v/>
      </c>
    </row>
    <row r="28">
      <c r="C28" t="n">
        <v>0.35</v>
      </c>
      <c r="D28">
        <f>C28/SQRT(1-C28*C28)*SQRT($B$1-2)</f>
        <v/>
      </c>
      <c r="E28">
        <f>T.DIST(D28,$B$2,FALSE)</f>
        <v/>
      </c>
    </row>
    <row r="29">
      <c r="C29" t="n">
        <v>0.4</v>
      </c>
      <c r="D29">
        <f>C29/SQRT(1-C29*C29)*SQRT($B$1-2)</f>
        <v/>
      </c>
      <c r="E29">
        <f>T.DIST(D29,$B$2,FALSE)</f>
        <v/>
      </c>
    </row>
    <row r="30">
      <c r="C30" t="n">
        <v>0.45</v>
      </c>
      <c r="D30">
        <f>C30/SQRT(1-C30*C30)*SQRT($B$1-2)</f>
        <v/>
      </c>
      <c r="E30">
        <f>T.DIST(D30,$B$2,FALSE)</f>
        <v/>
      </c>
    </row>
    <row r="31">
      <c r="C31" t="n">
        <v>0.5</v>
      </c>
      <c r="D31">
        <f>C31/SQRT(1-C31*C31)*SQRT($B$1-2)</f>
        <v/>
      </c>
      <c r="E31">
        <f>T.DIST(D31,$B$2,FALSE)</f>
        <v/>
      </c>
    </row>
    <row r="32">
      <c r="C32" t="n">
        <v>0.55</v>
      </c>
      <c r="D32">
        <f>C32/SQRT(1-C32*C32)*SQRT($B$1-2)</f>
        <v/>
      </c>
      <c r="E32">
        <f>T.DIST(D32,$B$2,FALSE)</f>
        <v/>
      </c>
    </row>
    <row r="33">
      <c r="C33" t="n">
        <v>0.6</v>
      </c>
      <c r="D33">
        <f>C33/SQRT(1-C33*C33)*SQRT($B$1-2)</f>
        <v/>
      </c>
      <c r="E33">
        <f>T.DIST(D33,$B$2,FALSE)</f>
        <v/>
      </c>
    </row>
    <row r="34">
      <c r="C34" t="n">
        <v>0.65</v>
      </c>
      <c r="D34">
        <f>C34/SQRT(1-C34*C34)*SQRT($B$1-2)</f>
        <v/>
      </c>
      <c r="E34">
        <f>T.DIST(D34,$B$2,FALSE)</f>
        <v/>
      </c>
    </row>
    <row r="35">
      <c r="C35" t="n">
        <v>0.7</v>
      </c>
      <c r="D35">
        <f>C35/SQRT(1-C35*C35)*SQRT($B$1-2)</f>
        <v/>
      </c>
      <c r="E35">
        <f>T.DIST(D35,$B$2,FALSE)</f>
        <v/>
      </c>
    </row>
    <row r="36">
      <c r="C36" t="n">
        <v>0.75</v>
      </c>
      <c r="D36">
        <f>C36/SQRT(1-C36*C36)*SQRT($B$1-2)</f>
        <v/>
      </c>
      <c r="E36">
        <f>T.DIST(D36,$B$2,FALSE)</f>
        <v/>
      </c>
    </row>
    <row r="37">
      <c r="C37" t="n">
        <v>0.8</v>
      </c>
      <c r="D37">
        <f>C37/SQRT(1-C37*C37)*SQRT($B$1-2)</f>
        <v/>
      </c>
      <c r="E37">
        <f>T.DIST(D37,$B$2,FALSE)</f>
        <v/>
      </c>
    </row>
    <row r="38">
      <c r="C38" t="n">
        <v>0.85</v>
      </c>
      <c r="D38">
        <f>C38/SQRT(1-C38*C38)*SQRT($B$1-2)</f>
        <v/>
      </c>
      <c r="E38">
        <f>T.DIST(D38,$B$2,FALSE)</f>
        <v/>
      </c>
    </row>
    <row r="39">
      <c r="C39" t="n">
        <v>0.9</v>
      </c>
      <c r="D39">
        <f>C39/SQRT(1-C39*C39)*SQRT($B$1-2)</f>
        <v/>
      </c>
      <c r="E39">
        <f>T.DIST(D39,$B$2,FALSE)</f>
        <v/>
      </c>
    </row>
    <row r="40">
      <c r="C40" t="n">
        <v>0.95</v>
      </c>
      <c r="D40">
        <f>C40/SQRT(1-C40*C40)*SQRT($B$1-2)</f>
        <v/>
      </c>
      <c r="E40">
        <f>T.DIST(D40,$B$2,FALSE)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tanh x</t>
        </is>
      </c>
    </row>
    <row r="2">
      <c r="A2" t="n">
        <v>-5</v>
      </c>
      <c r="B2">
        <f>TANH(A2)</f>
        <v/>
      </c>
    </row>
    <row r="3">
      <c r="A3">
        <f>0.1+A2</f>
        <v/>
      </c>
      <c r="B3">
        <f>TANH(A3)</f>
        <v/>
      </c>
    </row>
    <row r="4">
      <c r="A4">
        <f>0.1+A3</f>
        <v/>
      </c>
      <c r="B4">
        <f>TANH(A4)</f>
        <v/>
      </c>
    </row>
    <row r="5">
      <c r="A5">
        <f>0.1+A4</f>
        <v/>
      </c>
      <c r="B5">
        <f>TANH(A5)</f>
        <v/>
      </c>
    </row>
    <row r="6">
      <c r="A6">
        <f>0.1+A5</f>
        <v/>
      </c>
      <c r="B6">
        <f>TANH(A6)</f>
        <v/>
      </c>
    </row>
    <row r="7">
      <c r="A7">
        <f>0.1+A6</f>
        <v/>
      </c>
      <c r="B7">
        <f>TANH(A7)</f>
        <v/>
      </c>
    </row>
    <row r="8">
      <c r="A8">
        <f>0.1+A7</f>
        <v/>
      </c>
      <c r="B8">
        <f>TANH(A8)</f>
        <v/>
      </c>
    </row>
    <row r="9">
      <c r="A9">
        <f>0.1+A8</f>
        <v/>
      </c>
      <c r="B9">
        <f>TANH(A9)</f>
        <v/>
      </c>
    </row>
    <row r="10">
      <c r="A10">
        <f>0.1+A9</f>
        <v/>
      </c>
      <c r="B10">
        <f>TANH(A10)</f>
        <v/>
      </c>
    </row>
    <row r="11">
      <c r="A11">
        <f>0.1+A10</f>
        <v/>
      </c>
      <c r="B11">
        <f>TANH(A11)</f>
        <v/>
      </c>
    </row>
    <row r="12">
      <c r="A12">
        <f>0.1+A11</f>
        <v/>
      </c>
      <c r="B12">
        <f>TANH(A12)</f>
        <v/>
      </c>
    </row>
    <row r="13">
      <c r="A13">
        <f>0.1+A12</f>
        <v/>
      </c>
      <c r="B13">
        <f>TANH(A13)</f>
        <v/>
      </c>
    </row>
    <row r="14">
      <c r="A14">
        <f>0.1+A13</f>
        <v/>
      </c>
      <c r="B14">
        <f>TANH(A14)</f>
        <v/>
      </c>
    </row>
    <row r="15">
      <c r="A15">
        <f>0.1+A14</f>
        <v/>
      </c>
      <c r="B15">
        <f>TANH(A15)</f>
        <v/>
      </c>
    </row>
    <row r="16">
      <c r="A16">
        <f>0.1+A15</f>
        <v/>
      </c>
      <c r="B16">
        <f>TANH(A16)</f>
        <v/>
      </c>
    </row>
    <row r="17">
      <c r="A17">
        <f>0.1+A16</f>
        <v/>
      </c>
      <c r="B17">
        <f>TANH(A17)</f>
        <v/>
      </c>
    </row>
    <row r="18">
      <c r="A18">
        <f>0.1+A17</f>
        <v/>
      </c>
      <c r="B18">
        <f>TANH(A18)</f>
        <v/>
      </c>
    </row>
    <row r="19">
      <c r="A19">
        <f>0.1+A18</f>
        <v/>
      </c>
      <c r="B19">
        <f>TANH(A19)</f>
        <v/>
      </c>
    </row>
    <row r="20">
      <c r="A20">
        <f>0.1+A19</f>
        <v/>
      </c>
      <c r="B20">
        <f>TANH(A20)</f>
        <v/>
      </c>
    </row>
    <row r="21">
      <c r="A21">
        <f>0.1+A20</f>
        <v/>
      </c>
      <c r="B21">
        <f>TANH(A21)</f>
        <v/>
      </c>
    </row>
    <row r="22">
      <c r="A22">
        <f>0.1+A21</f>
        <v/>
      </c>
      <c r="B22">
        <f>TANH(A22)</f>
        <v/>
      </c>
    </row>
    <row r="23">
      <c r="A23">
        <f>0.1+A22</f>
        <v/>
      </c>
      <c r="B23">
        <f>TANH(A23)</f>
        <v/>
      </c>
    </row>
    <row r="24">
      <c r="A24">
        <f>0.1+A23</f>
        <v/>
      </c>
      <c r="B24">
        <f>TANH(A24)</f>
        <v/>
      </c>
    </row>
    <row r="25">
      <c r="A25">
        <f>0.1+A24</f>
        <v/>
      </c>
      <c r="B25">
        <f>TANH(A25)</f>
        <v/>
      </c>
    </row>
    <row r="26">
      <c r="A26">
        <f>0.1+A25</f>
        <v/>
      </c>
      <c r="B26">
        <f>TANH(A26)</f>
        <v/>
      </c>
    </row>
    <row r="27">
      <c r="A27">
        <f>0.1+A26</f>
        <v/>
      </c>
      <c r="B27">
        <f>TANH(A27)</f>
        <v/>
      </c>
    </row>
    <row r="28">
      <c r="A28">
        <f>0.1+A27</f>
        <v/>
      </c>
      <c r="B28">
        <f>TANH(A28)</f>
        <v/>
      </c>
    </row>
    <row r="29">
      <c r="A29">
        <f>0.1+A28</f>
        <v/>
      </c>
      <c r="B29">
        <f>TANH(A29)</f>
        <v/>
      </c>
    </row>
    <row r="30">
      <c r="A30">
        <f>0.1+A29</f>
        <v/>
      </c>
      <c r="B30">
        <f>TANH(A30)</f>
        <v/>
      </c>
    </row>
    <row r="31">
      <c r="A31">
        <f>0.1+A30</f>
        <v/>
      </c>
      <c r="B31">
        <f>TANH(A31)</f>
        <v/>
      </c>
    </row>
    <row r="32">
      <c r="A32">
        <f>0.1+A31</f>
        <v/>
      </c>
      <c r="B32">
        <f>TANH(A32)</f>
        <v/>
      </c>
    </row>
    <row r="33">
      <c r="A33">
        <f>0.1+A32</f>
        <v/>
      </c>
      <c r="B33">
        <f>TANH(A33)</f>
        <v/>
      </c>
    </row>
    <row r="34">
      <c r="A34">
        <f>0.1+A33</f>
        <v/>
      </c>
      <c r="B34">
        <f>TANH(A34)</f>
        <v/>
      </c>
    </row>
    <row r="35">
      <c r="A35">
        <f>0.1+A34</f>
        <v/>
      </c>
      <c r="B35">
        <f>TANH(A35)</f>
        <v/>
      </c>
    </row>
    <row r="36">
      <c r="A36">
        <f>0.1+A35</f>
        <v/>
      </c>
      <c r="B36">
        <f>TANH(A36)</f>
        <v/>
      </c>
    </row>
    <row r="37">
      <c r="A37">
        <f>0.1+A36</f>
        <v/>
      </c>
      <c r="B37">
        <f>TANH(A37)</f>
        <v/>
      </c>
    </row>
    <row r="38">
      <c r="A38">
        <f>0.1+A37</f>
        <v/>
      </c>
      <c r="B38">
        <f>TANH(A38)</f>
        <v/>
      </c>
    </row>
    <row r="39">
      <c r="A39">
        <f>0.1+A38</f>
        <v/>
      </c>
      <c r="B39">
        <f>TANH(A39)</f>
        <v/>
      </c>
    </row>
    <row r="40">
      <c r="A40">
        <f>0.1+A39</f>
        <v/>
      </c>
      <c r="B40">
        <f>TANH(A40)</f>
        <v/>
      </c>
    </row>
    <row r="41">
      <c r="A41">
        <f>0.1+A40</f>
        <v/>
      </c>
      <c r="B41">
        <f>TANH(A41)</f>
        <v/>
      </c>
    </row>
    <row r="42">
      <c r="A42">
        <f>0.1+A41</f>
        <v/>
      </c>
      <c r="B42">
        <f>TANH(A42)</f>
        <v/>
      </c>
    </row>
    <row r="43">
      <c r="A43">
        <f>0.1+A42</f>
        <v/>
      </c>
      <c r="B43">
        <f>TANH(A43)</f>
        <v/>
      </c>
    </row>
    <row r="44">
      <c r="A44">
        <f>0.1+A43</f>
        <v/>
      </c>
      <c r="B44">
        <f>TANH(A44)</f>
        <v/>
      </c>
    </row>
    <row r="45">
      <c r="A45">
        <f>0.1+A44</f>
        <v/>
      </c>
      <c r="B45">
        <f>TANH(A45)</f>
        <v/>
      </c>
    </row>
    <row r="46">
      <c r="A46">
        <f>0.1+A45</f>
        <v/>
      </c>
      <c r="B46">
        <f>TANH(A46)</f>
        <v/>
      </c>
    </row>
    <row r="47">
      <c r="A47">
        <f>0.1+A46</f>
        <v/>
      </c>
      <c r="B47">
        <f>TANH(A47)</f>
        <v/>
      </c>
    </row>
    <row r="48">
      <c r="A48">
        <f>0.1+A47</f>
        <v/>
      </c>
      <c r="B48">
        <f>TANH(A48)</f>
        <v/>
      </c>
    </row>
    <row r="49">
      <c r="A49">
        <f>0.1+A48</f>
        <v/>
      </c>
      <c r="B49">
        <f>TANH(A49)</f>
        <v/>
      </c>
    </row>
    <row r="50">
      <c r="A50">
        <f>0.1+A49</f>
        <v/>
      </c>
      <c r="B50">
        <f>TANH(A50)</f>
        <v/>
      </c>
    </row>
    <row r="51">
      <c r="A51">
        <f>0.1+A50</f>
        <v/>
      </c>
      <c r="B51">
        <f>TANH(A51)</f>
        <v/>
      </c>
    </row>
    <row r="52">
      <c r="A52">
        <f>0.1+A51</f>
        <v/>
      </c>
      <c r="B52">
        <f>TANH(A52)</f>
        <v/>
      </c>
    </row>
    <row r="53">
      <c r="A53">
        <f>0.1+A52</f>
        <v/>
      </c>
      <c r="B53">
        <f>TANH(A53)</f>
        <v/>
      </c>
    </row>
    <row r="54">
      <c r="A54">
        <f>0.1+A53</f>
        <v/>
      </c>
      <c r="B54">
        <f>TANH(A54)</f>
        <v/>
      </c>
    </row>
    <row r="55">
      <c r="A55">
        <f>0.1+A54</f>
        <v/>
      </c>
      <c r="B55">
        <f>TANH(A55)</f>
        <v/>
      </c>
    </row>
    <row r="56">
      <c r="A56">
        <f>0.1+A55</f>
        <v/>
      </c>
      <c r="B56">
        <f>TANH(A56)</f>
        <v/>
      </c>
    </row>
    <row r="57">
      <c r="A57">
        <f>0.1+A56</f>
        <v/>
      </c>
      <c r="B57">
        <f>TANH(A57)</f>
        <v/>
      </c>
    </row>
    <row r="58">
      <c r="A58">
        <f>0.1+A57</f>
        <v/>
      </c>
      <c r="B58">
        <f>TANH(A58)</f>
        <v/>
      </c>
    </row>
    <row r="59">
      <c r="A59">
        <f>0.1+A58</f>
        <v/>
      </c>
      <c r="B59">
        <f>TANH(A59)</f>
        <v/>
      </c>
    </row>
    <row r="60">
      <c r="A60">
        <f>0.1+A59</f>
        <v/>
      </c>
      <c r="B60">
        <f>TANH(A60)</f>
        <v/>
      </c>
    </row>
    <row r="61">
      <c r="A61">
        <f>0.1+A60</f>
        <v/>
      </c>
      <c r="B61">
        <f>TANH(A61)</f>
        <v/>
      </c>
    </row>
    <row r="62">
      <c r="A62">
        <f>0.1+A61</f>
        <v/>
      </c>
      <c r="B62">
        <f>TANH(A62)</f>
        <v/>
      </c>
    </row>
    <row r="63">
      <c r="A63">
        <f>0.1+A62</f>
        <v/>
      </c>
      <c r="B63">
        <f>TANH(A63)</f>
        <v/>
      </c>
    </row>
    <row r="64">
      <c r="A64">
        <f>0.1+A63</f>
        <v/>
      </c>
      <c r="B64">
        <f>TANH(A64)</f>
        <v/>
      </c>
    </row>
    <row r="65">
      <c r="A65">
        <f>0.1+A64</f>
        <v/>
      </c>
      <c r="B65">
        <f>TANH(A65)</f>
        <v/>
      </c>
    </row>
    <row r="66">
      <c r="A66">
        <f>0.1+A65</f>
        <v/>
      </c>
      <c r="B66">
        <f>TANH(A66)</f>
        <v/>
      </c>
    </row>
    <row r="67">
      <c r="A67">
        <f>0.1+A66</f>
        <v/>
      </c>
      <c r="B67">
        <f>TANH(A67)</f>
        <v/>
      </c>
    </row>
    <row r="68">
      <c r="A68">
        <f>0.1+A67</f>
        <v/>
      </c>
      <c r="B68">
        <f>TANH(A68)</f>
        <v/>
      </c>
    </row>
    <row r="69">
      <c r="A69">
        <f>0.1+A68</f>
        <v/>
      </c>
      <c r="B69">
        <f>TANH(A69)</f>
        <v/>
      </c>
    </row>
    <row r="70">
      <c r="A70">
        <f>0.1+A69</f>
        <v/>
      </c>
      <c r="B70">
        <f>TANH(A70)</f>
        <v/>
      </c>
    </row>
    <row r="71">
      <c r="A71">
        <f>0.1+A70</f>
        <v/>
      </c>
      <c r="B71">
        <f>TANH(A71)</f>
        <v/>
      </c>
    </row>
    <row r="72">
      <c r="A72">
        <f>0.1+A71</f>
        <v/>
      </c>
      <c r="B72">
        <f>TANH(A72)</f>
        <v/>
      </c>
    </row>
    <row r="73">
      <c r="A73">
        <f>0.1+A72</f>
        <v/>
      </c>
      <c r="B73">
        <f>TANH(A73)</f>
        <v/>
      </c>
    </row>
    <row r="74">
      <c r="A74">
        <f>0.1+A73</f>
        <v/>
      </c>
      <c r="B74">
        <f>TANH(A74)</f>
        <v/>
      </c>
    </row>
    <row r="75">
      <c r="A75">
        <f>0.1+A74</f>
        <v/>
      </c>
      <c r="B75">
        <f>TANH(A75)</f>
        <v/>
      </c>
    </row>
    <row r="76">
      <c r="A76">
        <f>0.1+A75</f>
        <v/>
      </c>
      <c r="B76">
        <f>TANH(A76)</f>
        <v/>
      </c>
    </row>
    <row r="77">
      <c r="A77">
        <f>0.1+A76</f>
        <v/>
      </c>
      <c r="B77">
        <f>TANH(A77)</f>
        <v/>
      </c>
    </row>
    <row r="78">
      <c r="A78">
        <f>0.1+A77</f>
        <v/>
      </c>
      <c r="B78">
        <f>TANH(A78)</f>
        <v/>
      </c>
    </row>
    <row r="79">
      <c r="A79">
        <f>0.1+A78</f>
        <v/>
      </c>
      <c r="B79">
        <f>TANH(A79)</f>
        <v/>
      </c>
    </row>
    <row r="80">
      <c r="A80">
        <f>0.1+A79</f>
        <v/>
      </c>
      <c r="B80">
        <f>TANH(A80)</f>
        <v/>
      </c>
    </row>
    <row r="81">
      <c r="A81">
        <f>0.1+A80</f>
        <v/>
      </c>
      <c r="B81">
        <f>TANH(A81)</f>
        <v/>
      </c>
    </row>
    <row r="82">
      <c r="A82">
        <f>0.1+A81</f>
        <v/>
      </c>
      <c r="B82">
        <f>TANH(A82)</f>
        <v/>
      </c>
    </row>
    <row r="83">
      <c r="A83">
        <f>0.1+A82</f>
        <v/>
      </c>
      <c r="B83">
        <f>TANH(A83)</f>
        <v/>
      </c>
    </row>
    <row r="84">
      <c r="A84">
        <f>0.1+A83</f>
        <v/>
      </c>
      <c r="B84">
        <f>TANH(A84)</f>
        <v/>
      </c>
    </row>
    <row r="85">
      <c r="A85">
        <f>0.1+A84</f>
        <v/>
      </c>
      <c r="B85">
        <f>TANH(A85)</f>
        <v/>
      </c>
    </row>
    <row r="86">
      <c r="A86">
        <f>0.1+A85</f>
        <v/>
      </c>
      <c r="B86">
        <f>TANH(A86)</f>
        <v/>
      </c>
    </row>
    <row r="87">
      <c r="A87">
        <f>0.1+A86</f>
        <v/>
      </c>
      <c r="B87">
        <f>TANH(A87)</f>
        <v/>
      </c>
    </row>
    <row r="88">
      <c r="A88">
        <f>0.1+A87</f>
        <v/>
      </c>
      <c r="B88">
        <f>TANH(A88)</f>
        <v/>
      </c>
    </row>
    <row r="89">
      <c r="A89">
        <f>0.1+A88</f>
        <v/>
      </c>
      <c r="B89">
        <f>TANH(A89)</f>
        <v/>
      </c>
    </row>
    <row r="90">
      <c r="A90">
        <f>0.1+A89</f>
        <v/>
      </c>
      <c r="B90">
        <f>TANH(A90)</f>
        <v/>
      </c>
    </row>
    <row r="91">
      <c r="A91">
        <f>0.1+A90</f>
        <v/>
      </c>
      <c r="B91">
        <f>TANH(A91)</f>
        <v/>
      </c>
    </row>
    <row r="92">
      <c r="A92">
        <f>0.1+A91</f>
        <v/>
      </c>
      <c r="B92">
        <f>TANH(A92)</f>
        <v/>
      </c>
    </row>
    <row r="93">
      <c r="A93">
        <f>0.1+A92</f>
        <v/>
      </c>
      <c r="B93">
        <f>TANH(A93)</f>
        <v/>
      </c>
    </row>
    <row r="94">
      <c r="A94">
        <f>0.1+A93</f>
        <v/>
      </c>
      <c r="B94">
        <f>TANH(A94)</f>
        <v/>
      </c>
    </row>
    <row r="95">
      <c r="A95">
        <f>0.1+A94</f>
        <v/>
      </c>
      <c r="B95">
        <f>TANH(A95)</f>
        <v/>
      </c>
    </row>
    <row r="96">
      <c r="A96">
        <f>0.1+A95</f>
        <v/>
      </c>
      <c r="B96">
        <f>TANH(A96)</f>
        <v/>
      </c>
    </row>
    <row r="97">
      <c r="A97">
        <f>0.1+A96</f>
        <v/>
      </c>
      <c r="B97">
        <f>TANH(A97)</f>
        <v/>
      </c>
    </row>
    <row r="98">
      <c r="A98">
        <f>0.1+A97</f>
        <v/>
      </c>
      <c r="B98">
        <f>TANH(A98)</f>
        <v/>
      </c>
    </row>
    <row r="99">
      <c r="A99">
        <f>0.1+A98</f>
        <v/>
      </c>
      <c r="B99">
        <f>TANH(A99)</f>
        <v/>
      </c>
    </row>
    <row r="100">
      <c r="A100">
        <f>0.1+A99</f>
        <v/>
      </c>
      <c r="B100">
        <f>TANH(A100)</f>
        <v/>
      </c>
    </row>
    <row r="101">
      <c r="A101">
        <f>0.1+A100</f>
        <v/>
      </c>
      <c r="B101">
        <f>TANH(A101)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:D200"/>
  <sheetViews>
    <sheetView workbookViewId="0">
      <selection activeCell="A1" sqref="A1"/>
    </sheetView>
  </sheetViews>
  <sheetFormatPr baseColWidth="8" defaultRowHeight="15"/>
  <sheetData>
    <row r="1">
      <c r="C1" t="inlineStr">
        <is>
          <t>x</t>
        </is>
      </c>
      <c r="D1" t="inlineStr">
        <is>
          <t>tanh-1 x</t>
        </is>
      </c>
    </row>
    <row r="2">
      <c r="C2" t="n">
        <v>-0.99</v>
      </c>
      <c r="D2">
        <f>ATANH(C2)</f>
        <v/>
      </c>
    </row>
    <row r="3">
      <c r="C3">
        <f>0.01+C2</f>
        <v/>
      </c>
      <c r="D3">
        <f>ATANH(C3)</f>
        <v/>
      </c>
    </row>
    <row r="4">
      <c r="C4">
        <f>0.01+C3</f>
        <v/>
      </c>
      <c r="D4">
        <f>ATANH(C4)</f>
        <v/>
      </c>
    </row>
    <row r="5">
      <c r="C5">
        <f>0.01+C4</f>
        <v/>
      </c>
      <c r="D5">
        <f>ATANH(C5)</f>
        <v/>
      </c>
    </row>
    <row r="6">
      <c r="C6">
        <f>0.01+C5</f>
        <v/>
      </c>
      <c r="D6">
        <f>ATANH(C6)</f>
        <v/>
      </c>
    </row>
    <row r="7">
      <c r="C7">
        <f>0.01+C6</f>
        <v/>
      </c>
      <c r="D7">
        <f>ATANH(C7)</f>
        <v/>
      </c>
    </row>
    <row r="8">
      <c r="C8">
        <f>0.01+C7</f>
        <v/>
      </c>
      <c r="D8">
        <f>ATANH(C8)</f>
        <v/>
      </c>
    </row>
    <row r="9">
      <c r="C9">
        <f>0.01+C8</f>
        <v/>
      </c>
      <c r="D9">
        <f>ATANH(C9)</f>
        <v/>
      </c>
    </row>
    <row r="10">
      <c r="C10">
        <f>0.01+C9</f>
        <v/>
      </c>
      <c r="D10">
        <f>ATANH(C10)</f>
        <v/>
      </c>
    </row>
    <row r="11">
      <c r="C11">
        <f>0.01+C10</f>
        <v/>
      </c>
      <c r="D11">
        <f>ATANH(C11)</f>
        <v/>
      </c>
    </row>
    <row r="12">
      <c r="C12">
        <f>0.01+C11</f>
        <v/>
      </c>
      <c r="D12">
        <f>ATANH(C12)</f>
        <v/>
      </c>
    </row>
    <row r="13">
      <c r="C13">
        <f>0.01+C12</f>
        <v/>
      </c>
      <c r="D13">
        <f>ATANH(C13)</f>
        <v/>
      </c>
    </row>
    <row r="14">
      <c r="C14">
        <f>0.01+C13</f>
        <v/>
      </c>
      <c r="D14">
        <f>ATANH(C14)</f>
        <v/>
      </c>
    </row>
    <row r="15">
      <c r="C15">
        <f>0.01+C14</f>
        <v/>
      </c>
      <c r="D15">
        <f>ATANH(C15)</f>
        <v/>
      </c>
    </row>
    <row r="16">
      <c r="C16">
        <f>0.01+C15</f>
        <v/>
      </c>
      <c r="D16">
        <f>ATANH(C16)</f>
        <v/>
      </c>
    </row>
    <row r="17">
      <c r="C17">
        <f>0.01+C16</f>
        <v/>
      </c>
      <c r="D17">
        <f>ATANH(C17)</f>
        <v/>
      </c>
    </row>
    <row r="18">
      <c r="C18">
        <f>0.01+C17</f>
        <v/>
      </c>
      <c r="D18">
        <f>ATANH(C18)</f>
        <v/>
      </c>
    </row>
    <row r="19">
      <c r="C19">
        <f>0.01+C18</f>
        <v/>
      </c>
      <c r="D19">
        <f>ATANH(C19)</f>
        <v/>
      </c>
    </row>
    <row r="20">
      <c r="C20">
        <f>0.01+C19</f>
        <v/>
      </c>
      <c r="D20">
        <f>ATANH(C20)</f>
        <v/>
      </c>
    </row>
    <row r="21">
      <c r="C21">
        <f>0.01+C20</f>
        <v/>
      </c>
      <c r="D21">
        <f>ATANH(C21)</f>
        <v/>
      </c>
    </row>
    <row r="22">
      <c r="C22">
        <f>0.01+C21</f>
        <v/>
      </c>
      <c r="D22">
        <f>ATANH(C22)</f>
        <v/>
      </c>
    </row>
    <row r="23">
      <c r="C23">
        <f>0.01+C22</f>
        <v/>
      </c>
      <c r="D23">
        <f>ATANH(C23)</f>
        <v/>
      </c>
    </row>
    <row r="24">
      <c r="C24">
        <f>0.01+C23</f>
        <v/>
      </c>
      <c r="D24">
        <f>ATANH(C24)</f>
        <v/>
      </c>
    </row>
    <row r="25">
      <c r="C25">
        <f>0.01+C24</f>
        <v/>
      </c>
      <c r="D25">
        <f>ATANH(C25)</f>
        <v/>
      </c>
    </row>
    <row r="26">
      <c r="C26">
        <f>0.01+C25</f>
        <v/>
      </c>
      <c r="D26">
        <f>ATANH(C26)</f>
        <v/>
      </c>
    </row>
    <row r="27">
      <c r="C27">
        <f>0.01+C26</f>
        <v/>
      </c>
      <c r="D27">
        <f>ATANH(C27)</f>
        <v/>
      </c>
    </row>
    <row r="28">
      <c r="C28">
        <f>0.01+C27</f>
        <v/>
      </c>
      <c r="D28">
        <f>ATANH(C28)</f>
        <v/>
      </c>
    </row>
    <row r="29">
      <c r="C29">
        <f>0.01+C28</f>
        <v/>
      </c>
      <c r="D29">
        <f>ATANH(C29)</f>
        <v/>
      </c>
    </row>
    <row r="30">
      <c r="C30">
        <f>0.01+C29</f>
        <v/>
      </c>
      <c r="D30">
        <f>ATANH(C30)</f>
        <v/>
      </c>
    </row>
    <row r="31">
      <c r="C31">
        <f>0.01+C30</f>
        <v/>
      </c>
      <c r="D31">
        <f>ATANH(C31)</f>
        <v/>
      </c>
    </row>
    <row r="32">
      <c r="C32">
        <f>0.01+C31</f>
        <v/>
      </c>
      <c r="D32">
        <f>ATANH(C32)</f>
        <v/>
      </c>
    </row>
    <row r="33">
      <c r="C33">
        <f>0.01+C32</f>
        <v/>
      </c>
      <c r="D33">
        <f>ATANH(C33)</f>
        <v/>
      </c>
    </row>
    <row r="34">
      <c r="C34">
        <f>0.01+C33</f>
        <v/>
      </c>
      <c r="D34">
        <f>ATANH(C34)</f>
        <v/>
      </c>
    </row>
    <row r="35">
      <c r="C35">
        <f>0.01+C34</f>
        <v/>
      </c>
      <c r="D35">
        <f>ATANH(C35)</f>
        <v/>
      </c>
    </row>
    <row r="36">
      <c r="C36">
        <f>0.01+C35</f>
        <v/>
      </c>
      <c r="D36">
        <f>ATANH(C36)</f>
        <v/>
      </c>
    </row>
    <row r="37">
      <c r="C37">
        <f>0.01+C36</f>
        <v/>
      </c>
      <c r="D37">
        <f>ATANH(C37)</f>
        <v/>
      </c>
    </row>
    <row r="38">
      <c r="C38">
        <f>0.01+C37</f>
        <v/>
      </c>
      <c r="D38">
        <f>ATANH(C38)</f>
        <v/>
      </c>
    </row>
    <row r="39">
      <c r="C39">
        <f>0.01+C38</f>
        <v/>
      </c>
      <c r="D39">
        <f>ATANH(C39)</f>
        <v/>
      </c>
    </row>
    <row r="40">
      <c r="C40">
        <f>0.01+C39</f>
        <v/>
      </c>
      <c r="D40">
        <f>ATANH(C40)</f>
        <v/>
      </c>
    </row>
    <row r="41">
      <c r="C41">
        <f>0.01+C40</f>
        <v/>
      </c>
      <c r="D41">
        <f>ATANH(C41)</f>
        <v/>
      </c>
    </row>
    <row r="42">
      <c r="C42">
        <f>0.01+C41</f>
        <v/>
      </c>
      <c r="D42">
        <f>ATANH(C42)</f>
        <v/>
      </c>
    </row>
    <row r="43">
      <c r="C43">
        <f>0.01+C42</f>
        <v/>
      </c>
      <c r="D43">
        <f>ATANH(C43)</f>
        <v/>
      </c>
    </row>
    <row r="44">
      <c r="C44">
        <f>0.01+C43</f>
        <v/>
      </c>
      <c r="D44">
        <f>ATANH(C44)</f>
        <v/>
      </c>
    </row>
    <row r="45">
      <c r="C45">
        <f>0.01+C44</f>
        <v/>
      </c>
      <c r="D45">
        <f>ATANH(C45)</f>
        <v/>
      </c>
    </row>
    <row r="46">
      <c r="C46">
        <f>0.01+C45</f>
        <v/>
      </c>
      <c r="D46">
        <f>ATANH(C46)</f>
        <v/>
      </c>
    </row>
    <row r="47">
      <c r="C47">
        <f>0.01+C46</f>
        <v/>
      </c>
      <c r="D47">
        <f>ATANH(C47)</f>
        <v/>
      </c>
    </row>
    <row r="48">
      <c r="C48">
        <f>0.01+C47</f>
        <v/>
      </c>
      <c r="D48">
        <f>ATANH(C48)</f>
        <v/>
      </c>
    </row>
    <row r="49">
      <c r="C49">
        <f>0.01+C48</f>
        <v/>
      </c>
      <c r="D49">
        <f>ATANH(C49)</f>
        <v/>
      </c>
    </row>
    <row r="50">
      <c r="C50">
        <f>0.01+C49</f>
        <v/>
      </c>
      <c r="D50">
        <f>ATANH(C50)</f>
        <v/>
      </c>
    </row>
    <row r="51">
      <c r="C51">
        <f>0.01+C50</f>
        <v/>
      </c>
      <c r="D51">
        <f>ATANH(C51)</f>
        <v/>
      </c>
    </row>
    <row r="52">
      <c r="C52">
        <f>0.01+C51</f>
        <v/>
      </c>
      <c r="D52">
        <f>ATANH(C52)</f>
        <v/>
      </c>
    </row>
    <row r="53">
      <c r="C53">
        <f>0.01+C52</f>
        <v/>
      </c>
      <c r="D53">
        <f>ATANH(C53)</f>
        <v/>
      </c>
    </row>
    <row r="54">
      <c r="C54">
        <f>0.01+C53</f>
        <v/>
      </c>
      <c r="D54">
        <f>ATANH(C54)</f>
        <v/>
      </c>
    </row>
    <row r="55">
      <c r="C55">
        <f>0.01+C54</f>
        <v/>
      </c>
      <c r="D55">
        <f>ATANH(C55)</f>
        <v/>
      </c>
    </row>
    <row r="56">
      <c r="C56">
        <f>0.01+C55</f>
        <v/>
      </c>
      <c r="D56">
        <f>ATANH(C56)</f>
        <v/>
      </c>
    </row>
    <row r="57">
      <c r="C57">
        <f>0.01+C56</f>
        <v/>
      </c>
      <c r="D57">
        <f>ATANH(C57)</f>
        <v/>
      </c>
    </row>
    <row r="58">
      <c r="C58">
        <f>0.01+C57</f>
        <v/>
      </c>
      <c r="D58">
        <f>ATANH(C58)</f>
        <v/>
      </c>
    </row>
    <row r="59">
      <c r="C59">
        <f>0.01+C58</f>
        <v/>
      </c>
      <c r="D59">
        <f>ATANH(C59)</f>
        <v/>
      </c>
    </row>
    <row r="60">
      <c r="C60">
        <f>0.01+C59</f>
        <v/>
      </c>
      <c r="D60">
        <f>ATANH(C60)</f>
        <v/>
      </c>
    </row>
    <row r="61">
      <c r="C61">
        <f>0.01+C60</f>
        <v/>
      </c>
      <c r="D61">
        <f>ATANH(C61)</f>
        <v/>
      </c>
    </row>
    <row r="62">
      <c r="C62">
        <f>0.01+C61</f>
        <v/>
      </c>
      <c r="D62">
        <f>ATANH(C62)</f>
        <v/>
      </c>
    </row>
    <row r="63">
      <c r="C63">
        <f>0.01+C62</f>
        <v/>
      </c>
      <c r="D63">
        <f>ATANH(C63)</f>
        <v/>
      </c>
    </row>
    <row r="64">
      <c r="C64">
        <f>0.01+C63</f>
        <v/>
      </c>
      <c r="D64">
        <f>ATANH(C64)</f>
        <v/>
      </c>
    </row>
    <row r="65">
      <c r="C65">
        <f>0.01+C64</f>
        <v/>
      </c>
      <c r="D65">
        <f>ATANH(C65)</f>
        <v/>
      </c>
    </row>
    <row r="66">
      <c r="C66">
        <f>0.01+C65</f>
        <v/>
      </c>
      <c r="D66">
        <f>ATANH(C66)</f>
        <v/>
      </c>
    </row>
    <row r="67">
      <c r="C67">
        <f>0.01+C66</f>
        <v/>
      </c>
      <c r="D67">
        <f>ATANH(C67)</f>
        <v/>
      </c>
    </row>
    <row r="68">
      <c r="C68">
        <f>0.01+C67</f>
        <v/>
      </c>
      <c r="D68">
        <f>ATANH(C68)</f>
        <v/>
      </c>
    </row>
    <row r="69">
      <c r="C69">
        <f>0.01+C68</f>
        <v/>
      </c>
      <c r="D69">
        <f>ATANH(C69)</f>
        <v/>
      </c>
    </row>
    <row r="70">
      <c r="C70">
        <f>0.01+C69</f>
        <v/>
      </c>
      <c r="D70">
        <f>ATANH(C70)</f>
        <v/>
      </c>
    </row>
    <row r="71">
      <c r="C71">
        <f>0.01+C70</f>
        <v/>
      </c>
      <c r="D71">
        <f>ATANH(C71)</f>
        <v/>
      </c>
    </row>
    <row r="72">
      <c r="C72">
        <f>0.01+C71</f>
        <v/>
      </c>
      <c r="D72">
        <f>ATANH(C72)</f>
        <v/>
      </c>
    </row>
    <row r="73">
      <c r="C73">
        <f>0.01+C72</f>
        <v/>
      </c>
      <c r="D73">
        <f>ATANH(C73)</f>
        <v/>
      </c>
    </row>
    <row r="74">
      <c r="C74">
        <f>0.01+C73</f>
        <v/>
      </c>
      <c r="D74">
        <f>ATANH(C74)</f>
        <v/>
      </c>
    </row>
    <row r="75">
      <c r="C75">
        <f>0.01+C74</f>
        <v/>
      </c>
      <c r="D75">
        <f>ATANH(C75)</f>
        <v/>
      </c>
    </row>
    <row r="76">
      <c r="C76">
        <f>0.01+C75</f>
        <v/>
      </c>
      <c r="D76">
        <f>ATANH(C76)</f>
        <v/>
      </c>
    </row>
    <row r="77">
      <c r="C77">
        <f>0.01+C76</f>
        <v/>
      </c>
      <c r="D77">
        <f>ATANH(C77)</f>
        <v/>
      </c>
    </row>
    <row r="78">
      <c r="C78">
        <f>0.01+C77</f>
        <v/>
      </c>
      <c r="D78">
        <f>ATANH(C78)</f>
        <v/>
      </c>
    </row>
    <row r="79">
      <c r="C79">
        <f>0.01+C78</f>
        <v/>
      </c>
      <c r="D79">
        <f>ATANH(C79)</f>
        <v/>
      </c>
    </row>
    <row r="80">
      <c r="C80">
        <f>0.01+C79</f>
        <v/>
      </c>
      <c r="D80">
        <f>ATANH(C80)</f>
        <v/>
      </c>
    </row>
    <row r="81">
      <c r="C81">
        <f>0.01+C80</f>
        <v/>
      </c>
      <c r="D81">
        <f>ATANH(C81)</f>
        <v/>
      </c>
    </row>
    <row r="82">
      <c r="C82">
        <f>0.01+C81</f>
        <v/>
      </c>
      <c r="D82">
        <f>ATANH(C82)</f>
        <v/>
      </c>
    </row>
    <row r="83">
      <c r="C83">
        <f>0.01+C82</f>
        <v/>
      </c>
      <c r="D83">
        <f>ATANH(C83)</f>
        <v/>
      </c>
    </row>
    <row r="84">
      <c r="C84">
        <f>0.01+C83</f>
        <v/>
      </c>
      <c r="D84">
        <f>ATANH(C84)</f>
        <v/>
      </c>
    </row>
    <row r="85">
      <c r="C85">
        <f>0.01+C84</f>
        <v/>
      </c>
      <c r="D85">
        <f>ATANH(C85)</f>
        <v/>
      </c>
    </row>
    <row r="86">
      <c r="C86">
        <f>0.01+C85</f>
        <v/>
      </c>
      <c r="D86">
        <f>ATANH(C86)</f>
        <v/>
      </c>
    </row>
    <row r="87">
      <c r="C87">
        <f>0.01+C86</f>
        <v/>
      </c>
      <c r="D87">
        <f>ATANH(C87)</f>
        <v/>
      </c>
    </row>
    <row r="88">
      <c r="C88">
        <f>0.01+C87</f>
        <v/>
      </c>
      <c r="D88">
        <f>ATANH(C88)</f>
        <v/>
      </c>
    </row>
    <row r="89">
      <c r="C89">
        <f>0.01+C88</f>
        <v/>
      </c>
      <c r="D89">
        <f>ATANH(C89)</f>
        <v/>
      </c>
    </row>
    <row r="90">
      <c r="C90">
        <f>0.01+C89</f>
        <v/>
      </c>
      <c r="D90">
        <f>ATANH(C90)</f>
        <v/>
      </c>
    </row>
    <row r="91">
      <c r="C91">
        <f>0.01+C90</f>
        <v/>
      </c>
      <c r="D91">
        <f>ATANH(C91)</f>
        <v/>
      </c>
    </row>
    <row r="92">
      <c r="C92">
        <f>0.01+C91</f>
        <v/>
      </c>
      <c r="D92">
        <f>ATANH(C92)</f>
        <v/>
      </c>
    </row>
    <row r="93">
      <c r="C93">
        <f>0.01+C92</f>
        <v/>
      </c>
      <c r="D93">
        <f>ATANH(C93)</f>
        <v/>
      </c>
    </row>
    <row r="94">
      <c r="C94">
        <f>0.01+C93</f>
        <v/>
      </c>
      <c r="D94">
        <f>ATANH(C94)</f>
        <v/>
      </c>
    </row>
    <row r="95">
      <c r="C95">
        <f>0.01+C94</f>
        <v/>
      </c>
      <c r="D95">
        <f>ATANH(C95)</f>
        <v/>
      </c>
    </row>
    <row r="96">
      <c r="C96">
        <f>0.01+C95</f>
        <v/>
      </c>
      <c r="D96">
        <f>ATANH(C96)</f>
        <v/>
      </c>
    </row>
    <row r="97">
      <c r="C97">
        <f>0.01+C96</f>
        <v/>
      </c>
      <c r="D97">
        <f>ATANH(C97)</f>
        <v/>
      </c>
    </row>
    <row r="98">
      <c r="C98">
        <f>0.01+C97</f>
        <v/>
      </c>
      <c r="D98">
        <f>ATANH(C98)</f>
        <v/>
      </c>
    </row>
    <row r="99">
      <c r="C99">
        <f>0.01+C98</f>
        <v/>
      </c>
      <c r="D99">
        <f>ATANH(C99)</f>
        <v/>
      </c>
    </row>
    <row r="100">
      <c r="C100">
        <f>0.01+C99</f>
        <v/>
      </c>
      <c r="D100">
        <f>ATANH(C100)</f>
        <v/>
      </c>
    </row>
    <row r="101">
      <c r="C101">
        <f>0.01+C100</f>
        <v/>
      </c>
      <c r="D101">
        <f>ATANH(C101)</f>
        <v/>
      </c>
    </row>
    <row r="102">
      <c r="C102">
        <f>0.01+C101</f>
        <v/>
      </c>
      <c r="D102">
        <f>ATANH(C102)</f>
        <v/>
      </c>
    </row>
    <row r="103">
      <c r="C103">
        <f>0.01+C102</f>
        <v/>
      </c>
      <c r="D103">
        <f>ATANH(C103)</f>
        <v/>
      </c>
    </row>
    <row r="104">
      <c r="C104">
        <f>0.01+C103</f>
        <v/>
      </c>
      <c r="D104">
        <f>ATANH(C104)</f>
        <v/>
      </c>
    </row>
    <row r="105">
      <c r="C105">
        <f>0.01+C104</f>
        <v/>
      </c>
      <c r="D105">
        <f>ATANH(C105)</f>
        <v/>
      </c>
    </row>
    <row r="106">
      <c r="C106">
        <f>0.01+C105</f>
        <v/>
      </c>
      <c r="D106">
        <f>ATANH(C106)</f>
        <v/>
      </c>
    </row>
    <row r="107">
      <c r="C107">
        <f>0.01+C106</f>
        <v/>
      </c>
      <c r="D107">
        <f>ATANH(C107)</f>
        <v/>
      </c>
    </row>
    <row r="108">
      <c r="C108">
        <f>0.01+C107</f>
        <v/>
      </c>
      <c r="D108">
        <f>ATANH(C108)</f>
        <v/>
      </c>
    </row>
    <row r="109">
      <c r="C109">
        <f>0.01+C108</f>
        <v/>
      </c>
      <c r="D109">
        <f>ATANH(C109)</f>
        <v/>
      </c>
    </row>
    <row r="110">
      <c r="C110">
        <f>0.01+C109</f>
        <v/>
      </c>
      <c r="D110">
        <f>ATANH(C110)</f>
        <v/>
      </c>
    </row>
    <row r="111">
      <c r="C111">
        <f>0.01+C110</f>
        <v/>
      </c>
      <c r="D111">
        <f>ATANH(C111)</f>
        <v/>
      </c>
    </row>
    <row r="112">
      <c r="C112">
        <f>0.01+C111</f>
        <v/>
      </c>
      <c r="D112">
        <f>ATANH(C112)</f>
        <v/>
      </c>
    </row>
    <row r="113">
      <c r="C113">
        <f>0.01+C112</f>
        <v/>
      </c>
      <c r="D113">
        <f>ATANH(C113)</f>
        <v/>
      </c>
    </row>
    <row r="114">
      <c r="C114">
        <f>0.01+C113</f>
        <v/>
      </c>
      <c r="D114">
        <f>ATANH(C114)</f>
        <v/>
      </c>
    </row>
    <row r="115">
      <c r="C115">
        <f>0.01+C114</f>
        <v/>
      </c>
      <c r="D115">
        <f>ATANH(C115)</f>
        <v/>
      </c>
    </row>
    <row r="116">
      <c r="C116">
        <f>0.01+C115</f>
        <v/>
      </c>
      <c r="D116">
        <f>ATANH(C116)</f>
        <v/>
      </c>
    </row>
    <row r="117">
      <c r="C117">
        <f>0.01+C116</f>
        <v/>
      </c>
      <c r="D117">
        <f>ATANH(C117)</f>
        <v/>
      </c>
    </row>
    <row r="118">
      <c r="C118">
        <f>0.01+C117</f>
        <v/>
      </c>
      <c r="D118">
        <f>ATANH(C118)</f>
        <v/>
      </c>
    </row>
    <row r="119">
      <c r="C119">
        <f>0.01+C118</f>
        <v/>
      </c>
      <c r="D119">
        <f>ATANH(C119)</f>
        <v/>
      </c>
    </row>
    <row r="120">
      <c r="C120">
        <f>0.01+C119</f>
        <v/>
      </c>
      <c r="D120">
        <f>ATANH(C120)</f>
        <v/>
      </c>
    </row>
    <row r="121">
      <c r="C121">
        <f>0.01+C120</f>
        <v/>
      </c>
      <c r="D121">
        <f>ATANH(C121)</f>
        <v/>
      </c>
    </row>
    <row r="122">
      <c r="C122">
        <f>0.01+C121</f>
        <v/>
      </c>
      <c r="D122">
        <f>ATANH(C122)</f>
        <v/>
      </c>
    </row>
    <row r="123">
      <c r="C123">
        <f>0.01+C122</f>
        <v/>
      </c>
      <c r="D123">
        <f>ATANH(C123)</f>
        <v/>
      </c>
    </row>
    <row r="124">
      <c r="C124">
        <f>0.01+C123</f>
        <v/>
      </c>
      <c r="D124">
        <f>ATANH(C124)</f>
        <v/>
      </c>
    </row>
    <row r="125">
      <c r="C125">
        <f>0.01+C124</f>
        <v/>
      </c>
      <c r="D125">
        <f>ATANH(C125)</f>
        <v/>
      </c>
    </row>
    <row r="126">
      <c r="C126">
        <f>0.01+C125</f>
        <v/>
      </c>
      <c r="D126">
        <f>ATANH(C126)</f>
        <v/>
      </c>
    </row>
    <row r="127">
      <c r="C127">
        <f>0.01+C126</f>
        <v/>
      </c>
      <c r="D127">
        <f>ATANH(C127)</f>
        <v/>
      </c>
    </row>
    <row r="128">
      <c r="C128">
        <f>0.01+C127</f>
        <v/>
      </c>
      <c r="D128">
        <f>ATANH(C128)</f>
        <v/>
      </c>
    </row>
    <row r="129">
      <c r="C129">
        <f>0.01+C128</f>
        <v/>
      </c>
      <c r="D129">
        <f>ATANH(C129)</f>
        <v/>
      </c>
    </row>
    <row r="130">
      <c r="C130">
        <f>0.01+C129</f>
        <v/>
      </c>
      <c r="D130">
        <f>ATANH(C130)</f>
        <v/>
      </c>
    </row>
    <row r="131">
      <c r="C131">
        <f>0.01+C130</f>
        <v/>
      </c>
      <c r="D131">
        <f>ATANH(C131)</f>
        <v/>
      </c>
    </row>
    <row r="132">
      <c r="C132">
        <f>0.01+C131</f>
        <v/>
      </c>
      <c r="D132">
        <f>ATANH(C132)</f>
        <v/>
      </c>
    </row>
    <row r="133">
      <c r="C133">
        <f>0.01+C132</f>
        <v/>
      </c>
      <c r="D133">
        <f>ATANH(C133)</f>
        <v/>
      </c>
    </row>
    <row r="134">
      <c r="C134">
        <f>0.01+C133</f>
        <v/>
      </c>
      <c r="D134">
        <f>ATANH(C134)</f>
        <v/>
      </c>
    </row>
    <row r="135">
      <c r="C135">
        <f>0.01+C134</f>
        <v/>
      </c>
      <c r="D135">
        <f>ATANH(C135)</f>
        <v/>
      </c>
    </row>
    <row r="136">
      <c r="C136">
        <f>0.01+C135</f>
        <v/>
      </c>
      <c r="D136">
        <f>ATANH(C136)</f>
        <v/>
      </c>
    </row>
    <row r="137">
      <c r="C137">
        <f>0.01+C136</f>
        <v/>
      </c>
      <c r="D137">
        <f>ATANH(C137)</f>
        <v/>
      </c>
    </row>
    <row r="138">
      <c r="C138">
        <f>0.01+C137</f>
        <v/>
      </c>
      <c r="D138">
        <f>ATANH(C138)</f>
        <v/>
      </c>
    </row>
    <row r="139">
      <c r="C139">
        <f>0.01+C138</f>
        <v/>
      </c>
      <c r="D139">
        <f>ATANH(C139)</f>
        <v/>
      </c>
    </row>
    <row r="140">
      <c r="C140">
        <f>0.01+C139</f>
        <v/>
      </c>
      <c r="D140">
        <f>ATANH(C140)</f>
        <v/>
      </c>
    </row>
    <row r="141">
      <c r="C141">
        <f>0.01+C140</f>
        <v/>
      </c>
      <c r="D141">
        <f>ATANH(C141)</f>
        <v/>
      </c>
    </row>
    <row r="142">
      <c r="C142">
        <f>0.01+C141</f>
        <v/>
      </c>
      <c r="D142">
        <f>ATANH(C142)</f>
        <v/>
      </c>
    </row>
    <row r="143">
      <c r="C143">
        <f>0.01+C142</f>
        <v/>
      </c>
      <c r="D143">
        <f>ATANH(C143)</f>
        <v/>
      </c>
    </row>
    <row r="144">
      <c r="C144">
        <f>0.01+C143</f>
        <v/>
      </c>
      <c r="D144">
        <f>ATANH(C144)</f>
        <v/>
      </c>
    </row>
    <row r="145">
      <c r="C145">
        <f>0.01+C144</f>
        <v/>
      </c>
      <c r="D145">
        <f>ATANH(C145)</f>
        <v/>
      </c>
    </row>
    <row r="146">
      <c r="C146">
        <f>0.01+C145</f>
        <v/>
      </c>
      <c r="D146">
        <f>ATANH(C146)</f>
        <v/>
      </c>
    </row>
    <row r="147">
      <c r="C147">
        <f>0.01+C146</f>
        <v/>
      </c>
      <c r="D147">
        <f>ATANH(C147)</f>
        <v/>
      </c>
    </row>
    <row r="148">
      <c r="C148">
        <f>0.01+C147</f>
        <v/>
      </c>
      <c r="D148">
        <f>ATANH(C148)</f>
        <v/>
      </c>
    </row>
    <row r="149">
      <c r="C149">
        <f>0.01+C148</f>
        <v/>
      </c>
      <c r="D149">
        <f>ATANH(C149)</f>
        <v/>
      </c>
    </row>
    <row r="150">
      <c r="C150">
        <f>0.01+C149</f>
        <v/>
      </c>
      <c r="D150">
        <f>ATANH(C150)</f>
        <v/>
      </c>
    </row>
    <row r="151">
      <c r="C151">
        <f>0.01+C150</f>
        <v/>
      </c>
      <c r="D151">
        <f>ATANH(C151)</f>
        <v/>
      </c>
    </row>
    <row r="152">
      <c r="C152">
        <f>0.01+C151</f>
        <v/>
      </c>
      <c r="D152">
        <f>ATANH(C152)</f>
        <v/>
      </c>
    </row>
    <row r="153">
      <c r="C153">
        <f>0.01+C152</f>
        <v/>
      </c>
      <c r="D153">
        <f>ATANH(C153)</f>
        <v/>
      </c>
    </row>
    <row r="154">
      <c r="C154">
        <f>0.01+C153</f>
        <v/>
      </c>
      <c r="D154">
        <f>ATANH(C154)</f>
        <v/>
      </c>
    </row>
    <row r="155">
      <c r="C155">
        <f>0.01+C154</f>
        <v/>
      </c>
      <c r="D155">
        <f>ATANH(C155)</f>
        <v/>
      </c>
    </row>
    <row r="156">
      <c r="C156">
        <f>0.01+C155</f>
        <v/>
      </c>
      <c r="D156">
        <f>ATANH(C156)</f>
        <v/>
      </c>
    </row>
    <row r="157">
      <c r="C157">
        <f>0.01+C156</f>
        <v/>
      </c>
      <c r="D157">
        <f>ATANH(C157)</f>
        <v/>
      </c>
    </row>
    <row r="158">
      <c r="C158">
        <f>0.01+C157</f>
        <v/>
      </c>
      <c r="D158">
        <f>ATANH(C158)</f>
        <v/>
      </c>
    </row>
    <row r="159">
      <c r="C159">
        <f>0.01+C158</f>
        <v/>
      </c>
      <c r="D159">
        <f>ATANH(C159)</f>
        <v/>
      </c>
    </row>
    <row r="160">
      <c r="C160">
        <f>0.01+C159</f>
        <v/>
      </c>
      <c r="D160">
        <f>ATANH(C160)</f>
        <v/>
      </c>
    </row>
    <row r="161">
      <c r="C161">
        <f>0.01+C160</f>
        <v/>
      </c>
      <c r="D161">
        <f>ATANH(C161)</f>
        <v/>
      </c>
    </row>
    <row r="162">
      <c r="C162">
        <f>0.01+C161</f>
        <v/>
      </c>
      <c r="D162">
        <f>ATANH(C162)</f>
        <v/>
      </c>
    </row>
    <row r="163">
      <c r="C163">
        <f>0.01+C162</f>
        <v/>
      </c>
      <c r="D163">
        <f>ATANH(C163)</f>
        <v/>
      </c>
    </row>
    <row r="164">
      <c r="C164">
        <f>0.01+C163</f>
        <v/>
      </c>
      <c r="D164">
        <f>ATANH(C164)</f>
        <v/>
      </c>
    </row>
    <row r="165">
      <c r="C165">
        <f>0.01+C164</f>
        <v/>
      </c>
      <c r="D165">
        <f>ATANH(C165)</f>
        <v/>
      </c>
    </row>
    <row r="166">
      <c r="C166">
        <f>0.01+C165</f>
        <v/>
      </c>
      <c r="D166">
        <f>ATANH(C166)</f>
        <v/>
      </c>
    </row>
    <row r="167">
      <c r="C167">
        <f>0.01+C166</f>
        <v/>
      </c>
      <c r="D167">
        <f>ATANH(C167)</f>
        <v/>
      </c>
    </row>
    <row r="168">
      <c r="C168">
        <f>0.01+C167</f>
        <v/>
      </c>
      <c r="D168">
        <f>ATANH(C168)</f>
        <v/>
      </c>
    </row>
    <row r="169">
      <c r="C169">
        <f>0.01+C168</f>
        <v/>
      </c>
      <c r="D169">
        <f>ATANH(C169)</f>
        <v/>
      </c>
    </row>
    <row r="170">
      <c r="C170">
        <f>0.01+C169</f>
        <v/>
      </c>
      <c r="D170">
        <f>ATANH(C170)</f>
        <v/>
      </c>
    </row>
    <row r="171">
      <c r="C171">
        <f>0.01+C170</f>
        <v/>
      </c>
      <c r="D171">
        <f>ATANH(C171)</f>
        <v/>
      </c>
    </row>
    <row r="172">
      <c r="C172">
        <f>0.01+C171</f>
        <v/>
      </c>
      <c r="D172">
        <f>ATANH(C172)</f>
        <v/>
      </c>
    </row>
    <row r="173">
      <c r="C173">
        <f>0.01+C172</f>
        <v/>
      </c>
      <c r="D173">
        <f>ATANH(C173)</f>
        <v/>
      </c>
    </row>
    <row r="174">
      <c r="C174">
        <f>0.01+C173</f>
        <v/>
      </c>
      <c r="D174">
        <f>ATANH(C174)</f>
        <v/>
      </c>
    </row>
    <row r="175">
      <c r="C175">
        <f>0.01+C174</f>
        <v/>
      </c>
      <c r="D175">
        <f>ATANH(C175)</f>
        <v/>
      </c>
    </row>
    <row r="176">
      <c r="C176">
        <f>0.01+C175</f>
        <v/>
      </c>
      <c r="D176">
        <f>ATANH(C176)</f>
        <v/>
      </c>
    </row>
    <row r="177">
      <c r="C177">
        <f>0.01+C176</f>
        <v/>
      </c>
      <c r="D177">
        <f>ATANH(C177)</f>
        <v/>
      </c>
    </row>
    <row r="178">
      <c r="C178">
        <f>0.01+C177</f>
        <v/>
      </c>
      <c r="D178">
        <f>ATANH(C178)</f>
        <v/>
      </c>
    </row>
    <row r="179">
      <c r="C179">
        <f>0.01+C178</f>
        <v/>
      </c>
      <c r="D179">
        <f>ATANH(C179)</f>
        <v/>
      </c>
    </row>
    <row r="180">
      <c r="C180">
        <f>0.01+C179</f>
        <v/>
      </c>
      <c r="D180">
        <f>ATANH(C180)</f>
        <v/>
      </c>
    </row>
    <row r="181">
      <c r="C181">
        <f>0.01+C180</f>
        <v/>
      </c>
      <c r="D181">
        <f>ATANH(C181)</f>
        <v/>
      </c>
    </row>
    <row r="182">
      <c r="C182">
        <f>0.01+C181</f>
        <v/>
      </c>
      <c r="D182">
        <f>ATANH(C182)</f>
        <v/>
      </c>
    </row>
    <row r="183">
      <c r="C183">
        <f>0.01+C182</f>
        <v/>
      </c>
      <c r="D183">
        <f>ATANH(C183)</f>
        <v/>
      </c>
    </row>
    <row r="184">
      <c r="C184">
        <f>0.01+C183</f>
        <v/>
      </c>
      <c r="D184">
        <f>ATANH(C184)</f>
        <v/>
      </c>
    </row>
    <row r="185">
      <c r="C185">
        <f>0.01+C184</f>
        <v/>
      </c>
      <c r="D185">
        <f>ATANH(C185)</f>
        <v/>
      </c>
    </row>
    <row r="186">
      <c r="C186">
        <f>0.01+C185</f>
        <v/>
      </c>
      <c r="D186">
        <f>ATANH(C186)</f>
        <v/>
      </c>
    </row>
    <row r="187">
      <c r="C187">
        <f>0.01+C186</f>
        <v/>
      </c>
      <c r="D187">
        <f>ATANH(C187)</f>
        <v/>
      </c>
    </row>
    <row r="188">
      <c r="C188">
        <f>0.01+C187</f>
        <v/>
      </c>
      <c r="D188">
        <f>ATANH(C188)</f>
        <v/>
      </c>
    </row>
    <row r="189">
      <c r="C189">
        <f>0.01+C188</f>
        <v/>
      </c>
      <c r="D189">
        <f>ATANH(C189)</f>
        <v/>
      </c>
    </row>
    <row r="190">
      <c r="C190">
        <f>0.01+C189</f>
        <v/>
      </c>
      <c r="D190">
        <f>ATANH(C190)</f>
        <v/>
      </c>
    </row>
    <row r="191">
      <c r="C191">
        <f>0.01+C190</f>
        <v/>
      </c>
      <c r="D191">
        <f>ATANH(C191)</f>
        <v/>
      </c>
    </row>
    <row r="192">
      <c r="C192">
        <f>0.01+C191</f>
        <v/>
      </c>
      <c r="D192">
        <f>ATANH(C192)</f>
        <v/>
      </c>
    </row>
    <row r="193">
      <c r="C193">
        <f>0.01+C192</f>
        <v/>
      </c>
      <c r="D193">
        <f>ATANH(C193)</f>
        <v/>
      </c>
    </row>
    <row r="194">
      <c r="C194">
        <f>0.01+C193</f>
        <v/>
      </c>
      <c r="D194">
        <f>ATANH(C194)</f>
        <v/>
      </c>
    </row>
    <row r="195">
      <c r="C195">
        <f>0.01+C194</f>
        <v/>
      </c>
      <c r="D195">
        <f>ATANH(C195)</f>
        <v/>
      </c>
    </row>
    <row r="196">
      <c r="C196">
        <f>0.01+C195</f>
        <v/>
      </c>
      <c r="D196">
        <f>ATANH(C196)</f>
        <v/>
      </c>
    </row>
    <row r="197">
      <c r="C197">
        <f>0.01+C196</f>
        <v/>
      </c>
      <c r="D197">
        <f>ATANH(C197)</f>
        <v/>
      </c>
    </row>
    <row r="198">
      <c r="C198">
        <f>0.01+C197</f>
        <v/>
      </c>
      <c r="D198">
        <f>ATANH(C198)</f>
        <v/>
      </c>
    </row>
    <row r="199">
      <c r="C199">
        <f>0.01+C198</f>
        <v/>
      </c>
      <c r="D199">
        <f>ATANH(C199)</f>
        <v/>
      </c>
    </row>
    <row r="200">
      <c r="C200">
        <f>0.01+C199</f>
        <v/>
      </c>
      <c r="D200">
        <f>ATANH(C200)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確率変数</t>
        </is>
      </c>
      <c r="B1" t="inlineStr">
        <is>
          <t>組み合わせの数</t>
        </is>
      </c>
      <c r="C1" t="inlineStr">
        <is>
          <t>確率</t>
        </is>
      </c>
      <c r="D1" t="inlineStr">
        <is>
          <t>確率変数×確率</t>
        </is>
      </c>
      <c r="E1" t="inlineStr">
        <is>
          <t>試行回数N</t>
        </is>
      </c>
      <c r="F1" t="n">
        <v>10</v>
      </c>
      <c r="H1" t="inlineStr">
        <is>
          <t>累積頻度分布</t>
        </is>
      </c>
    </row>
    <row r="2">
      <c r="A2" t="n">
        <v>0</v>
      </c>
      <c r="B2">
        <f>COMBIN($F$1,A2)</f>
        <v/>
      </c>
      <c r="C2">
        <f>B2*$F$2^A2*(1-$F$2)^($F$1-A2)</f>
        <v/>
      </c>
      <c r="D2">
        <f>A2*C2</f>
        <v/>
      </c>
      <c r="E2" t="inlineStr">
        <is>
          <t>表確率π</t>
        </is>
      </c>
      <c r="F2" t="n">
        <v>0.3</v>
      </c>
      <c r="H2">
        <f>H2+C2</f>
        <v/>
      </c>
    </row>
    <row r="3">
      <c r="A3" t="n">
        <v>1</v>
      </c>
      <c r="B3">
        <f>COMBIN($F$1,A3)</f>
        <v/>
      </c>
      <c r="C3">
        <f>B3*$F$2^A3*(1-$F$2)^($F$1-A3)</f>
        <v/>
      </c>
      <c r="D3">
        <f>A3*C3</f>
        <v/>
      </c>
      <c r="E3" t="inlineStr">
        <is>
          <t>確率合計</t>
        </is>
      </c>
      <c r="F3">
        <f>SUM(C2:C12)</f>
        <v/>
      </c>
      <c r="H3">
        <f>H3+C3</f>
        <v/>
      </c>
    </row>
    <row r="4">
      <c r="A4" t="n">
        <v>2</v>
      </c>
      <c r="B4">
        <f>COMBIN($F$1,A4)</f>
        <v/>
      </c>
      <c r="C4">
        <f>B4*$F$2^A4*(1-$F$2)^($F$1-A4)</f>
        <v/>
      </c>
      <c r="D4">
        <f>A4*C4</f>
        <v/>
      </c>
      <c r="E4" t="inlineStr">
        <is>
          <t>期待値</t>
        </is>
      </c>
      <c r="F4">
        <f>SUM(D2:D12)</f>
        <v/>
      </c>
      <c r="H4">
        <f>H4+C4</f>
        <v/>
      </c>
    </row>
    <row r="5">
      <c r="A5" t="n">
        <v>3</v>
      </c>
      <c r="B5">
        <f>COMBIN($F$1,A5)</f>
        <v/>
      </c>
      <c r="C5">
        <f>B5*$F$2^A5*(1-$F$2)^($F$1-A5)</f>
        <v/>
      </c>
      <c r="D5">
        <f>A5*C5</f>
        <v/>
      </c>
      <c r="E5" t="inlineStr">
        <is>
          <t>分散</t>
        </is>
      </c>
      <c r="F5">
        <f>$F$1*$F$2*(1-$F$2)</f>
        <v/>
      </c>
      <c r="H5">
        <f>H5+C5</f>
        <v/>
      </c>
    </row>
    <row r="6">
      <c r="A6" t="n">
        <v>4</v>
      </c>
      <c r="B6">
        <f>COMBIN($F$1,A6)</f>
        <v/>
      </c>
      <c r="C6">
        <f>B6*$F$2^A6*(1-$F$2)^($F$1-A6)</f>
        <v/>
      </c>
      <c r="D6">
        <f>A6*C6</f>
        <v/>
      </c>
      <c r="H6">
        <f>H6+C6</f>
        <v/>
      </c>
    </row>
    <row r="7">
      <c r="A7" t="n">
        <v>5</v>
      </c>
      <c r="B7">
        <f>COMBIN($F$1,A7)</f>
        <v/>
      </c>
      <c r="C7">
        <f>B7*$F$2^A7*(1-$F$2)^($F$1-A7)</f>
        <v/>
      </c>
      <c r="D7">
        <f>A7*C7</f>
        <v/>
      </c>
      <c r="H7">
        <f>H7+C7</f>
        <v/>
      </c>
    </row>
    <row r="8">
      <c r="A8" t="n">
        <v>6</v>
      </c>
      <c r="B8">
        <f>COMBIN($F$1,A8)</f>
        <v/>
      </c>
      <c r="C8">
        <f>B8*$F$2^A8*(1-$F$2)^($F$1-A8)</f>
        <v/>
      </c>
      <c r="D8">
        <f>A8*C8</f>
        <v/>
      </c>
      <c r="H8">
        <f>H8+C8</f>
        <v/>
      </c>
    </row>
    <row r="9">
      <c r="A9" t="n">
        <v>7</v>
      </c>
      <c r="B9">
        <f>COMBIN($F$1,A9)</f>
        <v/>
      </c>
      <c r="C9">
        <f>B9*$F$2^A9*(1-$F$2)^($F$1-A9)</f>
        <v/>
      </c>
      <c r="D9">
        <f>A9*C9</f>
        <v/>
      </c>
      <c r="H9">
        <f>H9+C9</f>
        <v/>
      </c>
    </row>
    <row r="10">
      <c r="A10" t="n">
        <v>8</v>
      </c>
      <c r="B10">
        <f>COMBIN($F$1,A10)</f>
        <v/>
      </c>
      <c r="C10">
        <f>B10*$F$2^A10*(1-$F$2)^($F$1-A10)</f>
        <v/>
      </c>
      <c r="D10">
        <f>A10*C10</f>
        <v/>
      </c>
      <c r="H10">
        <f>H10+C10</f>
        <v/>
      </c>
    </row>
    <row r="11">
      <c r="A11" t="n">
        <v>9</v>
      </c>
      <c r="B11">
        <f>COMBIN($F$1,A11)</f>
        <v/>
      </c>
      <c r="C11">
        <f>B11*$F$2^A11*(1-$F$2)^($F$1-A11)</f>
        <v/>
      </c>
      <c r="D11">
        <f>A11*C11</f>
        <v/>
      </c>
      <c r="H11">
        <f>H11+C11</f>
        <v/>
      </c>
    </row>
    <row r="12">
      <c r="A12" t="n">
        <v>10</v>
      </c>
      <c r="B12">
        <f>COMBIN($F$1,A12)</f>
        <v/>
      </c>
      <c r="C12">
        <f>B12*$F$2^A12*(1-$F$2)^($F$1-A12)</f>
        <v/>
      </c>
      <c r="D12">
        <f>A12*C12</f>
        <v/>
      </c>
      <c r="H12">
        <f>H12+C12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確率変数</t>
        </is>
      </c>
      <c r="B1" t="inlineStr">
        <is>
          <t>確率</t>
        </is>
      </c>
      <c r="D1" t="inlineStr">
        <is>
          <t>累積分布</t>
        </is>
      </c>
    </row>
    <row r="2">
      <c r="A2" t="n">
        <v>-2</v>
      </c>
      <c r="B2">
        <f>NORM.DIST(A2,$E$2,$E$4,FALSE)</f>
        <v/>
      </c>
      <c r="C2" t="inlineStr">
        <is>
          <t>平均</t>
        </is>
      </c>
      <c r="D2" t="inlineStr">
        <is>
          <t>平均</t>
        </is>
      </c>
      <c r="E2" t="n">
        <v>0</v>
      </c>
    </row>
    <row r="3">
      <c r="A3">
        <f>-2+1*0.1</f>
        <v/>
      </c>
      <c r="B3">
        <f>NORM.DIST(A3,$E$2,$E$4,FALSE)</f>
        <v/>
      </c>
      <c r="D3" t="inlineStr">
        <is>
          <t>分散</t>
        </is>
      </c>
      <c r="E3" t="n">
        <v>0.2</v>
      </c>
    </row>
    <row r="4">
      <c r="A4">
        <f>-2+2*0.1</f>
        <v/>
      </c>
      <c r="B4">
        <f>NORM.DIST(A4,$E$2,$E$4,FALSE)</f>
        <v/>
      </c>
      <c r="D4" t="inlineStr">
        <is>
          <t>標準偏差</t>
        </is>
      </c>
      <c r="E4">
        <f>SQRT($E$3)</f>
        <v/>
      </c>
    </row>
    <row r="5">
      <c r="A5">
        <f>-2+3*0.1</f>
        <v/>
      </c>
      <c r="B5">
        <f>NORM.DIST(A5,$E$2,$E$4,FALSE)</f>
        <v/>
      </c>
      <c r="D5">
        <f>NORM.DIST(A5,$E$2,$E$4,TRUE)</f>
        <v/>
      </c>
    </row>
    <row r="6">
      <c r="A6">
        <f>-2+4*0.1</f>
        <v/>
      </c>
      <c r="B6">
        <f>NORM.DIST(A6,$E$2,$E$4,FALSE)</f>
        <v/>
      </c>
      <c r="D6">
        <f>NORM.DIST(A6,$E$2,$E$4,TRUE)</f>
        <v/>
      </c>
    </row>
    <row r="7">
      <c r="A7">
        <f>-2+5*0.1</f>
        <v/>
      </c>
      <c r="B7">
        <f>NORM.DIST(A7,$E$2,$E$4,FALSE)</f>
        <v/>
      </c>
      <c r="D7">
        <f>NORM.DIST(A7,$E$2,$E$4,TRUE)</f>
        <v/>
      </c>
    </row>
    <row r="8">
      <c r="A8">
        <f>-2+6*0.1</f>
        <v/>
      </c>
      <c r="B8">
        <f>NORM.DIST(A8,$E$2,$E$4,FALSE)</f>
        <v/>
      </c>
      <c r="D8">
        <f>NORM.DIST(A8,$E$2,$E$4,TRUE)</f>
        <v/>
      </c>
    </row>
    <row r="9">
      <c r="A9">
        <f>-2+7*0.1</f>
        <v/>
      </c>
      <c r="B9">
        <f>NORM.DIST(A9,$E$2,$E$4,FALSE)</f>
        <v/>
      </c>
      <c r="D9">
        <f>NORM.DIST(A9,$E$2,$E$4,TRUE)</f>
        <v/>
      </c>
    </row>
    <row r="10">
      <c r="A10">
        <f>-2+8*0.1</f>
        <v/>
      </c>
      <c r="B10">
        <f>NORM.DIST(A10,$E$2,$E$4,FALSE)</f>
        <v/>
      </c>
      <c r="D10">
        <f>NORM.DIST(A10,$E$2,$E$4,TRUE)</f>
        <v/>
      </c>
    </row>
    <row r="11">
      <c r="A11">
        <f>-2+9*0.1</f>
        <v/>
      </c>
      <c r="B11">
        <f>NORM.DIST(A11,$E$2,$E$4,FALSE)</f>
        <v/>
      </c>
      <c r="D11">
        <f>NORM.DIST(A11,$E$2,$E$4,TRUE)</f>
        <v/>
      </c>
    </row>
    <row r="12">
      <c r="A12">
        <f>-2+10*0.1</f>
        <v/>
      </c>
      <c r="B12">
        <f>NORM.DIST(A12,$E$2,$E$4,FALSE)</f>
        <v/>
      </c>
      <c r="D12">
        <f>NORM.DIST(A12,$E$2,$E$4,TRUE)</f>
        <v/>
      </c>
    </row>
    <row r="13">
      <c r="A13">
        <f>-2+11*0.1</f>
        <v/>
      </c>
      <c r="B13">
        <f>NORM.DIST(A13,$E$2,$E$4,FALSE)</f>
        <v/>
      </c>
      <c r="D13">
        <f>NORM.DIST(A13,$E$2,$E$4,TRUE)</f>
        <v/>
      </c>
    </row>
    <row r="14">
      <c r="A14">
        <f>-2+12*0.1</f>
        <v/>
      </c>
      <c r="B14">
        <f>NORM.DIST(A14,$E$2,$E$4,FALSE)</f>
        <v/>
      </c>
      <c r="D14">
        <f>NORM.DIST(A14,$E$2,$E$4,TRUE)</f>
        <v/>
      </c>
    </row>
    <row r="15">
      <c r="A15">
        <f>-2+13*0.1</f>
        <v/>
      </c>
      <c r="B15">
        <f>NORM.DIST(A15,$E$2,$E$4,FALSE)</f>
        <v/>
      </c>
      <c r="D15">
        <f>NORM.DIST(A15,$E$2,$E$4,TRUE)</f>
        <v/>
      </c>
    </row>
    <row r="16">
      <c r="A16">
        <f>-2+14*0.1</f>
        <v/>
      </c>
      <c r="B16">
        <f>NORM.DIST(A16,$E$2,$E$4,FALSE)</f>
        <v/>
      </c>
      <c r="D16">
        <f>NORM.DIST(A16,$E$2,$E$4,TRUE)</f>
        <v/>
      </c>
    </row>
    <row r="17">
      <c r="A17">
        <f>-2+15*0.1</f>
        <v/>
      </c>
      <c r="B17">
        <f>NORM.DIST(A17,$E$2,$E$4,FALSE)</f>
        <v/>
      </c>
      <c r="D17">
        <f>NORM.DIST(A17,$E$2,$E$4,TRUE)</f>
        <v/>
      </c>
    </row>
    <row r="18">
      <c r="A18">
        <f>-2+16*0.1</f>
        <v/>
      </c>
      <c r="B18">
        <f>NORM.DIST(A18,$E$2,$E$4,FALSE)</f>
        <v/>
      </c>
      <c r="D18">
        <f>NORM.DIST(A18,$E$2,$E$4,TRUE)</f>
        <v/>
      </c>
    </row>
    <row r="19">
      <c r="A19">
        <f>-2+17*0.1</f>
        <v/>
      </c>
      <c r="B19">
        <f>NORM.DIST(A19,$E$2,$E$4,FALSE)</f>
        <v/>
      </c>
      <c r="D19">
        <f>NORM.DIST(A19,$E$2,$E$4,TRUE)</f>
        <v/>
      </c>
    </row>
    <row r="20">
      <c r="A20">
        <f>-2+18*0.1</f>
        <v/>
      </c>
      <c r="B20">
        <f>NORM.DIST(A20,$E$2,$E$4,FALSE)</f>
        <v/>
      </c>
      <c r="D20">
        <f>NORM.DIST(A20,$E$2,$E$4,TRUE)</f>
        <v/>
      </c>
    </row>
    <row r="21">
      <c r="A21">
        <f>-2+19*0.1</f>
        <v/>
      </c>
      <c r="B21">
        <f>NORM.DIST(A21,$E$2,$E$4,FALSE)</f>
        <v/>
      </c>
      <c r="D21">
        <f>NORM.DIST(A21,$E$2,$E$4,TRUE)</f>
        <v/>
      </c>
    </row>
    <row r="22">
      <c r="A22">
        <f>-2+20*0.1</f>
        <v/>
      </c>
      <c r="B22">
        <f>NORM.DIST(A22,$E$2,$E$4,FALSE)</f>
        <v/>
      </c>
      <c r="D22">
        <f>NORM.DIST(A22,$E$2,$E$4,TRUE)</f>
        <v/>
      </c>
    </row>
    <row r="23">
      <c r="A23">
        <f>-2+21*0.1</f>
        <v/>
      </c>
      <c r="B23">
        <f>NORM.DIST(A23,$E$2,$E$4,FALSE)</f>
        <v/>
      </c>
      <c r="D23">
        <f>NORM.DIST(A23,$E$2,$E$4,TRUE)</f>
        <v/>
      </c>
    </row>
    <row r="24">
      <c r="A24">
        <f>-2+22*0.1</f>
        <v/>
      </c>
      <c r="B24">
        <f>NORM.DIST(A24,$E$2,$E$4,FALSE)</f>
        <v/>
      </c>
      <c r="D24">
        <f>NORM.DIST(A24,$E$2,$E$4,TRUE)</f>
        <v/>
      </c>
    </row>
    <row r="25">
      <c r="A25">
        <f>-2+23*0.1</f>
        <v/>
      </c>
      <c r="B25">
        <f>NORM.DIST(A25,$E$2,$E$4,FALSE)</f>
        <v/>
      </c>
      <c r="D25">
        <f>NORM.DIST(A25,$E$2,$E$4,TRUE)</f>
        <v/>
      </c>
    </row>
    <row r="26">
      <c r="A26">
        <f>-2+24*0.1</f>
        <v/>
      </c>
      <c r="B26">
        <f>NORM.DIST(A26,$E$2,$E$4,FALSE)</f>
        <v/>
      </c>
      <c r="D26">
        <f>NORM.DIST(A26,$E$2,$E$4,TRUE)</f>
        <v/>
      </c>
    </row>
    <row r="27">
      <c r="A27">
        <f>-2+25*0.1</f>
        <v/>
      </c>
      <c r="B27">
        <f>NORM.DIST(A27,$E$2,$E$4,FALSE)</f>
        <v/>
      </c>
      <c r="D27">
        <f>NORM.DIST(A27,$E$2,$E$4,TRUE)</f>
        <v/>
      </c>
    </row>
    <row r="28">
      <c r="A28">
        <f>-2+26*0.1</f>
        <v/>
      </c>
      <c r="B28">
        <f>NORM.DIST(A28,$E$2,$E$4,FALSE)</f>
        <v/>
      </c>
      <c r="D28">
        <f>NORM.DIST(A28,$E$2,$E$4,TRUE)</f>
        <v/>
      </c>
    </row>
    <row r="29">
      <c r="A29">
        <f>-2+27*0.1</f>
        <v/>
      </c>
      <c r="B29">
        <f>NORM.DIST(A29,$E$2,$E$4,FALSE)</f>
        <v/>
      </c>
      <c r="D29">
        <f>NORM.DIST(A29,$E$2,$E$4,TRUE)</f>
        <v/>
      </c>
    </row>
    <row r="30">
      <c r="A30">
        <f>-2+28*0.1</f>
        <v/>
      </c>
      <c r="B30">
        <f>NORM.DIST(A30,$E$2,$E$4,FALSE)</f>
        <v/>
      </c>
      <c r="D30">
        <f>NORM.DIST(A30,$E$2,$E$4,TRUE)</f>
        <v/>
      </c>
    </row>
    <row r="31">
      <c r="A31">
        <f>-2+29*0.1</f>
        <v/>
      </c>
      <c r="B31">
        <f>NORM.DIST(A31,$E$2,$E$4,FALSE)</f>
        <v/>
      </c>
      <c r="D31">
        <f>NORM.DIST(A31,$E$2,$E$4,TRUE)</f>
        <v/>
      </c>
    </row>
    <row r="32">
      <c r="A32">
        <f>-2+30*0.1</f>
        <v/>
      </c>
      <c r="B32">
        <f>NORM.DIST(A32,$E$2,$E$4,FALSE)</f>
        <v/>
      </c>
      <c r="D32">
        <f>NORM.DIST(A32,$E$2,$E$4,TRUE)</f>
        <v/>
      </c>
    </row>
    <row r="33">
      <c r="A33">
        <f>-2+31*0.1</f>
        <v/>
      </c>
      <c r="B33">
        <f>NORM.DIST(A33,$E$2,$E$4,FALSE)</f>
        <v/>
      </c>
      <c r="D33">
        <f>NORM.DIST(A33,$E$2,$E$4,TRUE)</f>
        <v/>
      </c>
    </row>
    <row r="34">
      <c r="A34">
        <f>-2+32*0.1</f>
        <v/>
      </c>
      <c r="B34">
        <f>NORM.DIST(A34,$E$2,$E$4,FALSE)</f>
        <v/>
      </c>
      <c r="D34">
        <f>NORM.DIST(A34,$E$2,$E$4,TRUE)</f>
        <v/>
      </c>
    </row>
    <row r="35">
      <c r="A35">
        <f>-2+33*0.1</f>
        <v/>
      </c>
      <c r="B35">
        <f>NORM.DIST(A35,$E$2,$E$4,FALSE)</f>
        <v/>
      </c>
      <c r="D35">
        <f>NORM.DIST(A35,$E$2,$E$4,TRUE)</f>
        <v/>
      </c>
    </row>
    <row r="36">
      <c r="A36">
        <f>-2+34*0.1</f>
        <v/>
      </c>
      <c r="B36">
        <f>NORM.DIST(A36,$E$2,$E$4,FALSE)</f>
        <v/>
      </c>
      <c r="D36">
        <f>NORM.DIST(A36,$E$2,$E$4,TRUE)</f>
        <v/>
      </c>
    </row>
    <row r="37">
      <c r="A37">
        <f>-2+35*0.1</f>
        <v/>
      </c>
      <c r="B37">
        <f>NORM.DIST(A37,$E$2,$E$4,FALSE)</f>
        <v/>
      </c>
      <c r="D37">
        <f>NORM.DIST(A37,$E$2,$E$4,TRUE)</f>
        <v/>
      </c>
    </row>
    <row r="38">
      <c r="A38">
        <f>-2+36*0.1</f>
        <v/>
      </c>
      <c r="B38">
        <f>NORM.DIST(A38,$E$2,$E$4,FALSE)</f>
        <v/>
      </c>
      <c r="D38">
        <f>NORM.DIST(A38,$E$2,$E$4,TRUE)</f>
        <v/>
      </c>
    </row>
    <row r="39">
      <c r="A39">
        <f>-2+37*0.1</f>
        <v/>
      </c>
      <c r="B39">
        <f>NORM.DIST(A39,$E$2,$E$4,FALSE)</f>
        <v/>
      </c>
      <c r="D39">
        <f>NORM.DIST(A39,$E$2,$E$4,TRUE)</f>
        <v/>
      </c>
    </row>
    <row r="40">
      <c r="A40">
        <f>-2+38*0.1</f>
        <v/>
      </c>
      <c r="B40">
        <f>NORM.DIST(A40,$E$2,$E$4,FALSE)</f>
        <v/>
      </c>
      <c r="D40">
        <f>NORM.DIST(A40,$E$2,$E$4,TRUE)</f>
        <v/>
      </c>
    </row>
    <row r="41">
      <c r="A41">
        <f>-2+39*0.1</f>
        <v/>
      </c>
      <c r="B41">
        <f>NORM.DIST(A41,$E$2,$E$4,FALSE)</f>
        <v/>
      </c>
      <c r="D41">
        <f>NORM.DIST(A41,$E$2,$E$4,TRUE)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E1:H100"/>
  <sheetViews>
    <sheetView workbookViewId="0">
      <selection activeCell="A1" sqref="A1"/>
    </sheetView>
  </sheetViews>
  <sheetFormatPr baseColWidth="8" defaultRowHeight="15"/>
  <sheetData>
    <row r="1">
      <c r="G1" t="inlineStr">
        <is>
          <t>累積確率</t>
        </is>
      </c>
      <c r="H1" t="inlineStr">
        <is>
          <t>確率変数</t>
        </is>
      </c>
    </row>
    <row r="2">
      <c r="E2" t="n">
        <v>0</v>
      </c>
      <c r="G2" t="n">
        <v>0.01</v>
      </c>
      <c r="H2">
        <f>NORM.INV(G2,$E$2,$E$4)</f>
        <v/>
      </c>
    </row>
    <row r="3">
      <c r="G3">
        <f>G2+0.01</f>
        <v/>
      </c>
      <c r="H3">
        <f>NORM.INV(G3,$E$2,$E$4)</f>
        <v/>
      </c>
    </row>
    <row r="4">
      <c r="E4">
        <f>SQRT(0.2)</f>
        <v/>
      </c>
      <c r="G4">
        <f>G3+0.01</f>
        <v/>
      </c>
      <c r="H4">
        <f>NORM.INV(G4,$E$2,$E$4)</f>
        <v/>
      </c>
    </row>
    <row r="5">
      <c r="G5">
        <f>G4+0.01</f>
        <v/>
      </c>
      <c r="H5">
        <f>NORM.INV(G5,$E$2,$E$4)</f>
        <v/>
      </c>
    </row>
    <row r="6">
      <c r="G6">
        <f>G5+0.01</f>
        <v/>
      </c>
      <c r="H6">
        <f>NORM.INV(G6,$E$2,$E$4)</f>
        <v/>
      </c>
    </row>
    <row r="7">
      <c r="G7">
        <f>G6+0.01</f>
        <v/>
      </c>
      <c r="H7">
        <f>NORM.INV(G7,$E$2,$E$4)</f>
        <v/>
      </c>
    </row>
    <row r="8">
      <c r="G8">
        <f>G7+0.01</f>
        <v/>
      </c>
      <c r="H8">
        <f>NORM.INV(G8,$E$2,$E$4)</f>
        <v/>
      </c>
    </row>
    <row r="9">
      <c r="G9">
        <f>G8+0.01</f>
        <v/>
      </c>
      <c r="H9">
        <f>NORM.INV(G9,$E$2,$E$4)</f>
        <v/>
      </c>
    </row>
    <row r="10">
      <c r="G10">
        <f>G9+0.01</f>
        <v/>
      </c>
      <c r="H10">
        <f>NORM.INV(G10,$E$2,$E$4)</f>
        <v/>
      </c>
    </row>
    <row r="11">
      <c r="G11">
        <f>G10+0.01</f>
        <v/>
      </c>
      <c r="H11">
        <f>NORM.INV(G11,$E$2,$E$4)</f>
        <v/>
      </c>
    </row>
    <row r="12">
      <c r="G12">
        <f>G11+0.01</f>
        <v/>
      </c>
      <c r="H12">
        <f>NORM.INV(G12,$E$2,$E$4)</f>
        <v/>
      </c>
    </row>
    <row r="13">
      <c r="G13">
        <f>G12+0.01</f>
        <v/>
      </c>
      <c r="H13">
        <f>NORM.INV(G13,$E$2,$E$4)</f>
        <v/>
      </c>
    </row>
    <row r="14">
      <c r="G14">
        <f>G13+0.01</f>
        <v/>
      </c>
      <c r="H14">
        <f>NORM.INV(G14,$E$2,$E$4)</f>
        <v/>
      </c>
    </row>
    <row r="15">
      <c r="G15">
        <f>G14+0.01</f>
        <v/>
      </c>
      <c r="H15">
        <f>NORM.INV(G15,$E$2,$E$4)</f>
        <v/>
      </c>
    </row>
    <row r="16">
      <c r="G16">
        <f>G15+0.01</f>
        <v/>
      </c>
      <c r="H16">
        <f>NORM.INV(G16,$E$2,$E$4)</f>
        <v/>
      </c>
    </row>
    <row r="17">
      <c r="G17">
        <f>G16+0.01</f>
        <v/>
      </c>
      <c r="H17">
        <f>NORM.INV(G17,$E$2,$E$4)</f>
        <v/>
      </c>
    </row>
    <row r="18">
      <c r="G18">
        <f>G17+0.01</f>
        <v/>
      </c>
      <c r="H18">
        <f>NORM.INV(G18,$E$2,$E$4)</f>
        <v/>
      </c>
    </row>
    <row r="19">
      <c r="G19">
        <f>G18+0.01</f>
        <v/>
      </c>
      <c r="H19">
        <f>NORM.INV(G19,$E$2,$E$4)</f>
        <v/>
      </c>
    </row>
    <row r="20">
      <c r="G20">
        <f>G19+0.01</f>
        <v/>
      </c>
      <c r="H20">
        <f>NORM.INV(G20,$E$2,$E$4)</f>
        <v/>
      </c>
    </row>
    <row r="21">
      <c r="G21">
        <f>G20+0.01</f>
        <v/>
      </c>
      <c r="H21">
        <f>NORM.INV(G21,$E$2,$E$4)</f>
        <v/>
      </c>
    </row>
    <row r="22">
      <c r="G22">
        <f>G21+0.01</f>
        <v/>
      </c>
      <c r="H22">
        <f>NORM.INV(G22,$E$2,$E$4)</f>
        <v/>
      </c>
    </row>
    <row r="23">
      <c r="G23">
        <f>G22+0.01</f>
        <v/>
      </c>
      <c r="H23">
        <f>NORM.INV(G23,$E$2,$E$4)</f>
        <v/>
      </c>
    </row>
    <row r="24">
      <c r="G24">
        <f>G23+0.01</f>
        <v/>
      </c>
      <c r="H24">
        <f>NORM.INV(G24,$E$2,$E$4)</f>
        <v/>
      </c>
    </row>
    <row r="25">
      <c r="G25">
        <f>G24+0.01</f>
        <v/>
      </c>
      <c r="H25">
        <f>NORM.INV(G25,$E$2,$E$4)</f>
        <v/>
      </c>
    </row>
    <row r="26">
      <c r="G26">
        <f>G25+0.01</f>
        <v/>
      </c>
      <c r="H26">
        <f>NORM.INV(G26,$E$2,$E$4)</f>
        <v/>
      </c>
    </row>
    <row r="27">
      <c r="G27">
        <f>G26+0.01</f>
        <v/>
      </c>
      <c r="H27">
        <f>NORM.INV(G27,$E$2,$E$4)</f>
        <v/>
      </c>
    </row>
    <row r="28">
      <c r="G28">
        <f>G27+0.01</f>
        <v/>
      </c>
      <c r="H28">
        <f>NORM.INV(G28,$E$2,$E$4)</f>
        <v/>
      </c>
    </row>
    <row r="29">
      <c r="G29">
        <f>G28+0.01</f>
        <v/>
      </c>
      <c r="H29">
        <f>NORM.INV(G29,$E$2,$E$4)</f>
        <v/>
      </c>
    </row>
    <row r="30">
      <c r="G30">
        <f>G29+0.01</f>
        <v/>
      </c>
      <c r="H30">
        <f>NORM.INV(G30,$E$2,$E$4)</f>
        <v/>
      </c>
    </row>
    <row r="31">
      <c r="G31">
        <f>G30+0.01</f>
        <v/>
      </c>
      <c r="H31">
        <f>NORM.INV(G31,$E$2,$E$4)</f>
        <v/>
      </c>
    </row>
    <row r="32">
      <c r="G32">
        <f>G31+0.01</f>
        <v/>
      </c>
      <c r="H32">
        <f>NORM.INV(G32,$E$2,$E$4)</f>
        <v/>
      </c>
    </row>
    <row r="33">
      <c r="G33">
        <f>G32+0.01</f>
        <v/>
      </c>
      <c r="H33">
        <f>NORM.INV(G33,$E$2,$E$4)</f>
        <v/>
      </c>
    </row>
    <row r="34">
      <c r="G34">
        <f>G33+0.01</f>
        <v/>
      </c>
      <c r="H34">
        <f>NORM.INV(G34,$E$2,$E$4)</f>
        <v/>
      </c>
    </row>
    <row r="35">
      <c r="G35">
        <f>G34+0.01</f>
        <v/>
      </c>
      <c r="H35">
        <f>NORM.INV(G35,$E$2,$E$4)</f>
        <v/>
      </c>
    </row>
    <row r="36">
      <c r="G36">
        <f>G35+0.01</f>
        <v/>
      </c>
      <c r="H36">
        <f>NORM.INV(G36,$E$2,$E$4)</f>
        <v/>
      </c>
    </row>
    <row r="37">
      <c r="G37">
        <f>G36+0.01</f>
        <v/>
      </c>
      <c r="H37">
        <f>NORM.INV(G37,$E$2,$E$4)</f>
        <v/>
      </c>
    </row>
    <row r="38">
      <c r="G38">
        <f>G37+0.01</f>
        <v/>
      </c>
      <c r="H38">
        <f>NORM.INV(G38,$E$2,$E$4)</f>
        <v/>
      </c>
    </row>
    <row r="39">
      <c r="G39">
        <f>G38+0.01</f>
        <v/>
      </c>
      <c r="H39">
        <f>NORM.INV(G39,$E$2,$E$4)</f>
        <v/>
      </c>
    </row>
    <row r="40">
      <c r="G40">
        <f>G39+0.01</f>
        <v/>
      </c>
      <c r="H40">
        <f>NORM.INV(G40,$E$2,$E$4)</f>
        <v/>
      </c>
    </row>
    <row r="41">
      <c r="G41">
        <f>G40+0.01</f>
        <v/>
      </c>
      <c r="H41">
        <f>NORM.INV(G41,$E$2,$E$4)</f>
        <v/>
      </c>
    </row>
    <row r="42">
      <c r="G42">
        <f>G41+0.01</f>
        <v/>
      </c>
      <c r="H42">
        <f>NORM.INV(G42,$E$2,$E$4)</f>
        <v/>
      </c>
    </row>
    <row r="43">
      <c r="G43">
        <f>G42+0.01</f>
        <v/>
      </c>
      <c r="H43">
        <f>NORM.INV(G43,$E$2,$E$4)</f>
        <v/>
      </c>
    </row>
    <row r="44">
      <c r="G44">
        <f>G43+0.01</f>
        <v/>
      </c>
      <c r="H44">
        <f>NORM.INV(G44,$E$2,$E$4)</f>
        <v/>
      </c>
    </row>
    <row r="45">
      <c r="G45">
        <f>G44+0.01</f>
        <v/>
      </c>
      <c r="H45">
        <f>NORM.INV(G45,$E$2,$E$4)</f>
        <v/>
      </c>
    </row>
    <row r="46">
      <c r="G46">
        <f>G45+0.01</f>
        <v/>
      </c>
      <c r="H46">
        <f>NORM.INV(G46,$E$2,$E$4)</f>
        <v/>
      </c>
    </row>
    <row r="47">
      <c r="G47">
        <f>G46+0.01</f>
        <v/>
      </c>
      <c r="H47">
        <f>NORM.INV(G47,$E$2,$E$4)</f>
        <v/>
      </c>
    </row>
    <row r="48">
      <c r="G48">
        <f>G47+0.01</f>
        <v/>
      </c>
      <c r="H48">
        <f>NORM.INV(G48,$E$2,$E$4)</f>
        <v/>
      </c>
    </row>
    <row r="49">
      <c r="G49">
        <f>G48+0.01</f>
        <v/>
      </c>
      <c r="H49">
        <f>NORM.INV(G49,$E$2,$E$4)</f>
        <v/>
      </c>
    </row>
    <row r="50">
      <c r="G50">
        <f>G49+0.01</f>
        <v/>
      </c>
      <c r="H50">
        <f>NORM.INV(G50,$E$2,$E$4)</f>
        <v/>
      </c>
    </row>
    <row r="51">
      <c r="G51">
        <f>G50+0.01</f>
        <v/>
      </c>
      <c r="H51">
        <f>NORM.INV(G51,$E$2,$E$4)</f>
        <v/>
      </c>
    </row>
    <row r="52">
      <c r="G52">
        <f>G51+0.01</f>
        <v/>
      </c>
      <c r="H52">
        <f>NORM.INV(G52,$E$2,$E$4)</f>
        <v/>
      </c>
    </row>
    <row r="53">
      <c r="G53">
        <f>G52+0.01</f>
        <v/>
      </c>
      <c r="H53">
        <f>NORM.INV(G53,$E$2,$E$4)</f>
        <v/>
      </c>
    </row>
    <row r="54">
      <c r="G54">
        <f>G53+0.01</f>
        <v/>
      </c>
      <c r="H54">
        <f>NORM.INV(G54,$E$2,$E$4)</f>
        <v/>
      </c>
    </row>
    <row r="55">
      <c r="G55">
        <f>G54+0.01</f>
        <v/>
      </c>
      <c r="H55">
        <f>NORM.INV(G55,$E$2,$E$4)</f>
        <v/>
      </c>
    </row>
    <row r="56">
      <c r="G56">
        <f>G55+0.01</f>
        <v/>
      </c>
      <c r="H56">
        <f>NORM.INV(G56,$E$2,$E$4)</f>
        <v/>
      </c>
    </row>
    <row r="57">
      <c r="G57">
        <f>G56+0.01</f>
        <v/>
      </c>
      <c r="H57">
        <f>NORM.INV(G57,$E$2,$E$4)</f>
        <v/>
      </c>
    </row>
    <row r="58">
      <c r="G58">
        <f>G57+0.01</f>
        <v/>
      </c>
      <c r="H58">
        <f>NORM.INV(G58,$E$2,$E$4)</f>
        <v/>
      </c>
    </row>
    <row r="59">
      <c r="G59">
        <f>G58+0.01</f>
        <v/>
      </c>
      <c r="H59">
        <f>NORM.INV(G59,$E$2,$E$4)</f>
        <v/>
      </c>
    </row>
    <row r="60">
      <c r="G60">
        <f>G59+0.01</f>
        <v/>
      </c>
      <c r="H60">
        <f>NORM.INV(G60,$E$2,$E$4)</f>
        <v/>
      </c>
    </row>
    <row r="61">
      <c r="G61">
        <f>G60+0.01</f>
        <v/>
      </c>
      <c r="H61">
        <f>NORM.INV(G61,$E$2,$E$4)</f>
        <v/>
      </c>
    </row>
    <row r="62">
      <c r="G62">
        <f>G61+0.01</f>
        <v/>
      </c>
      <c r="H62">
        <f>NORM.INV(G62,$E$2,$E$4)</f>
        <v/>
      </c>
    </row>
    <row r="63">
      <c r="G63">
        <f>G62+0.01</f>
        <v/>
      </c>
      <c r="H63">
        <f>NORM.INV(G63,$E$2,$E$4)</f>
        <v/>
      </c>
    </row>
    <row r="64">
      <c r="G64">
        <f>G63+0.01</f>
        <v/>
      </c>
      <c r="H64">
        <f>NORM.INV(G64,$E$2,$E$4)</f>
        <v/>
      </c>
    </row>
    <row r="65">
      <c r="G65">
        <f>G64+0.01</f>
        <v/>
      </c>
      <c r="H65">
        <f>NORM.INV(G65,$E$2,$E$4)</f>
        <v/>
      </c>
    </row>
    <row r="66">
      <c r="G66">
        <f>G65+0.01</f>
        <v/>
      </c>
      <c r="H66">
        <f>NORM.INV(G66,$E$2,$E$4)</f>
        <v/>
      </c>
    </row>
    <row r="67">
      <c r="G67">
        <f>G66+0.01</f>
        <v/>
      </c>
      <c r="H67">
        <f>NORM.INV(G67,$E$2,$E$4)</f>
        <v/>
      </c>
    </row>
    <row r="68">
      <c r="G68">
        <f>G67+0.01</f>
        <v/>
      </c>
      <c r="H68">
        <f>NORM.INV(G68,$E$2,$E$4)</f>
        <v/>
      </c>
    </row>
    <row r="69">
      <c r="G69">
        <f>G68+0.01</f>
        <v/>
      </c>
      <c r="H69">
        <f>NORM.INV(G69,$E$2,$E$4)</f>
        <v/>
      </c>
    </row>
    <row r="70">
      <c r="G70">
        <f>G69+0.01</f>
        <v/>
      </c>
      <c r="H70">
        <f>NORM.INV(G70,$E$2,$E$4)</f>
        <v/>
      </c>
    </row>
    <row r="71">
      <c r="G71">
        <f>G70+0.01</f>
        <v/>
      </c>
      <c r="H71">
        <f>NORM.INV(G71,$E$2,$E$4)</f>
        <v/>
      </c>
    </row>
    <row r="72">
      <c r="G72">
        <f>G71+0.01</f>
        <v/>
      </c>
      <c r="H72">
        <f>NORM.INV(G72,$E$2,$E$4)</f>
        <v/>
      </c>
    </row>
    <row r="73">
      <c r="G73">
        <f>G72+0.01</f>
        <v/>
      </c>
      <c r="H73">
        <f>NORM.INV(G73,$E$2,$E$4)</f>
        <v/>
      </c>
    </row>
    <row r="74">
      <c r="G74">
        <f>G73+0.01</f>
        <v/>
      </c>
      <c r="H74">
        <f>NORM.INV(G74,$E$2,$E$4)</f>
        <v/>
      </c>
    </row>
    <row r="75">
      <c r="G75">
        <f>G74+0.01</f>
        <v/>
      </c>
      <c r="H75">
        <f>NORM.INV(G75,$E$2,$E$4)</f>
        <v/>
      </c>
    </row>
    <row r="76">
      <c r="G76">
        <f>G75+0.01</f>
        <v/>
      </c>
      <c r="H76">
        <f>NORM.INV(G76,$E$2,$E$4)</f>
        <v/>
      </c>
    </row>
    <row r="77">
      <c r="G77">
        <f>G76+0.01</f>
        <v/>
      </c>
      <c r="H77">
        <f>NORM.INV(G77,$E$2,$E$4)</f>
        <v/>
      </c>
    </row>
    <row r="78">
      <c r="G78">
        <f>G77+0.01</f>
        <v/>
      </c>
      <c r="H78">
        <f>NORM.INV(G78,$E$2,$E$4)</f>
        <v/>
      </c>
    </row>
    <row r="79">
      <c r="G79">
        <f>G78+0.01</f>
        <v/>
      </c>
      <c r="H79">
        <f>NORM.INV(G79,$E$2,$E$4)</f>
        <v/>
      </c>
    </row>
    <row r="80">
      <c r="G80">
        <f>G79+0.01</f>
        <v/>
      </c>
      <c r="H80">
        <f>NORM.INV(G80,$E$2,$E$4)</f>
        <v/>
      </c>
    </row>
    <row r="81">
      <c r="G81">
        <f>G80+0.01</f>
        <v/>
      </c>
      <c r="H81">
        <f>NORM.INV(G81,$E$2,$E$4)</f>
        <v/>
      </c>
    </row>
    <row r="82">
      <c r="G82">
        <f>G81+0.01</f>
        <v/>
      </c>
      <c r="H82">
        <f>NORM.INV(G82,$E$2,$E$4)</f>
        <v/>
      </c>
    </row>
    <row r="83">
      <c r="G83">
        <f>G82+0.01</f>
        <v/>
      </c>
      <c r="H83">
        <f>NORM.INV(G83,$E$2,$E$4)</f>
        <v/>
      </c>
    </row>
    <row r="84">
      <c r="G84">
        <f>G83+0.01</f>
        <v/>
      </c>
      <c r="H84">
        <f>NORM.INV(G84,$E$2,$E$4)</f>
        <v/>
      </c>
    </row>
    <row r="85">
      <c r="G85">
        <f>G84+0.01</f>
        <v/>
      </c>
      <c r="H85">
        <f>NORM.INV(G85,$E$2,$E$4)</f>
        <v/>
      </c>
    </row>
    <row r="86">
      <c r="G86">
        <f>G85+0.01</f>
        <v/>
      </c>
      <c r="H86">
        <f>NORM.INV(G86,$E$2,$E$4)</f>
        <v/>
      </c>
    </row>
    <row r="87">
      <c r="G87">
        <f>G86+0.01</f>
        <v/>
      </c>
      <c r="H87">
        <f>NORM.INV(G87,$E$2,$E$4)</f>
        <v/>
      </c>
    </row>
    <row r="88">
      <c r="G88">
        <f>G87+0.01</f>
        <v/>
      </c>
      <c r="H88">
        <f>NORM.INV(G88,$E$2,$E$4)</f>
        <v/>
      </c>
    </row>
    <row r="89">
      <c r="G89">
        <f>G88+0.01</f>
        <v/>
      </c>
      <c r="H89">
        <f>NORM.INV(G89,$E$2,$E$4)</f>
        <v/>
      </c>
    </row>
    <row r="90">
      <c r="G90">
        <f>G89+0.01</f>
        <v/>
      </c>
      <c r="H90">
        <f>NORM.INV(G90,$E$2,$E$4)</f>
        <v/>
      </c>
    </row>
    <row r="91">
      <c r="G91">
        <f>G90+0.01</f>
        <v/>
      </c>
      <c r="H91">
        <f>NORM.INV(G91,$E$2,$E$4)</f>
        <v/>
      </c>
    </row>
    <row r="92">
      <c r="G92">
        <f>G91+0.01</f>
        <v/>
      </c>
      <c r="H92">
        <f>NORM.INV(G92,$E$2,$E$4)</f>
        <v/>
      </c>
    </row>
    <row r="93">
      <c r="G93">
        <f>G92+0.01</f>
        <v/>
      </c>
      <c r="H93">
        <f>NORM.INV(G93,$E$2,$E$4)</f>
        <v/>
      </c>
    </row>
    <row r="94">
      <c r="G94">
        <f>G93+0.01</f>
        <v/>
      </c>
      <c r="H94">
        <f>NORM.INV(G94,$E$2,$E$4)</f>
        <v/>
      </c>
    </row>
    <row r="95">
      <c r="G95">
        <f>G94+0.01</f>
        <v/>
      </c>
      <c r="H95">
        <f>NORM.INV(G95,$E$2,$E$4)</f>
        <v/>
      </c>
    </row>
    <row r="96">
      <c r="G96">
        <f>G95+0.01</f>
        <v/>
      </c>
      <c r="H96">
        <f>NORM.INV(G96,$E$2,$E$4)</f>
        <v/>
      </c>
    </row>
    <row r="97">
      <c r="G97">
        <f>G96+0.01</f>
        <v/>
      </c>
      <c r="H97">
        <f>NORM.INV(G97,$E$2,$E$4)</f>
        <v/>
      </c>
    </row>
    <row r="98">
      <c r="G98">
        <f>G97+0.01</f>
        <v/>
      </c>
      <c r="H98">
        <f>NORM.INV(G98,$E$2,$E$4)</f>
        <v/>
      </c>
    </row>
    <row r="99">
      <c r="G99">
        <f>G98+0.01</f>
        <v/>
      </c>
      <c r="H99">
        <f>NORM.INV(G99,$E$2,$E$4)</f>
        <v/>
      </c>
    </row>
    <row r="100">
      <c r="G100">
        <f>G99+0.01</f>
        <v/>
      </c>
      <c r="H100">
        <f>NORM.INV(G100,$E$2,$E$4)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2026-06-25T14:47:21Z</dcterms:created>
  <dcterms:modified xsi:type="dcterms:W3CDTF">2026-06-25T14:52:18Z</dcterms:modified>
</cp:coreProperties>
</file>